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025"/>
  <workbookPr/>
  <mc:AlternateContent xmlns:mc="http://schemas.openxmlformats.org/markup-compatibility/2006">
    <mc:Choice Requires="x15">
      <x15ac:absPath xmlns:x15ac="http://schemas.microsoft.com/office/spreadsheetml/2010/11/ac" url="E:\PhD Final\My Publication at UTP\Article 4 - SLR Halal\Scientific African\1st Submission\Supplementry Files\"/>
    </mc:Choice>
  </mc:AlternateContent>
  <xr:revisionPtr revIDLastSave="0" documentId="13_ncr:1_{6AFA57B7-8A19-4941-B80F-43890D99479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90" i="1" l="1"/>
  <c r="D90" i="1"/>
  <c r="H88" i="1"/>
  <c r="D88" i="1"/>
  <c r="H86" i="1"/>
  <c r="D86" i="1"/>
  <c r="H85" i="1"/>
  <c r="D85" i="1"/>
  <c r="H84" i="1"/>
  <c r="D84" i="1"/>
  <c r="H70" i="1"/>
  <c r="D70" i="1"/>
  <c r="H67" i="1"/>
  <c r="D67" i="1"/>
  <c r="H58" i="1"/>
  <c r="D58" i="1"/>
  <c r="H43" i="1"/>
  <c r="D43" i="1"/>
  <c r="H26" i="1"/>
  <c r="D26" i="1"/>
  <c r="H23" i="1"/>
  <c r="D23" i="1"/>
  <c r="H9" i="1"/>
  <c r="D9" i="1"/>
  <c r="H5" i="1"/>
  <c r="D5" i="1"/>
</calcChain>
</file>

<file path=xl/sharedStrings.xml><?xml version="1.0" encoding="utf-8"?>
<sst xmlns="http://schemas.openxmlformats.org/spreadsheetml/2006/main" count="725" uniqueCount="540">
  <si>
    <t>Authors</t>
  </si>
  <si>
    <t>Document Title</t>
  </si>
  <si>
    <t>Publication Year</t>
  </si>
  <si>
    <t>DOI Link</t>
  </si>
  <si>
    <t>Abstract</t>
  </si>
  <si>
    <t>Author Keywords</t>
  </si>
  <si>
    <t>Document Type</t>
  </si>
  <si>
    <t>Source</t>
  </si>
  <si>
    <t>Decision2</t>
  </si>
  <si>
    <t>Reason2</t>
  </si>
  <si>
    <t>Ambara Purusottama, Togar M. Simatupang</t>
  </si>
  <si>
    <t>Adoption of blockchain technology in promoting halal compliance</t>
  </si>
  <si>
    <t>https://www.emerald.com/insight/content/doi/10.1108/JIMA-12-2023-0423/full/html?casa_token=5k568bWCKvsAAAAA:nDkf_q6PfG3x2_sRsWDCNd8ku-iFW_UOpbFIN4qeq4FTqKaCz9dfLbwqUZMcmnMZlAO0xVke2EHa6eHlgqNNlbYTL6qPBqGYtA2NO7QFlP5KN5HgV9qauw</t>
  </si>
  <si>
    <t>Purpose
Blockchain technology (BT)-based halal discussions have gained momentum as their significant benefits have become evident. However, explaining the halal compliance of blockchain-based products remains insufficient. This study attempts to confront this deficiency and promote a thorough understanding of halal compliance using BT.
Design/methodology/approach
The research design emphasized the relationship between theoretical and empirical evidence in adopting BT to produce novel knowledge for halal compliance. Furthermore, this study formulated a model resulting from an iterative process between theoretical and empirical evidence, as confirmed by multiple case studies. To produce solid findings, the data were collected using a few approaches involving key actors in halal-specific areas in Indonesia, such as in-depth interviews, direct observations and documentation.
Findings
The study shows that the developed model elucidates the synthesis of BT and halal compliance. BT’s features can facilitate the dimensions of halal compliance and can be applied in multiple cases. The BT features work complementarily, and it was found that some features work dominantly in each dimension for halal compliance, while other features accentuate a minor role. Other findings identified discrepancies among the cases since they had different characteristics.
Originality/value
This study initiates an integrative model combining BT features and halal compliance dimensions, including traceability, integrity and authenticity. The model, along with the study’s implications and contributions, is then explained in detail in this article.</t>
  </si>
  <si>
    <t>Blockchain technology, Blockchain features, Halal compliance, Integrative model,
Multiple case study</t>
  </si>
  <si>
    <t xml:space="preserve">Journal </t>
  </si>
  <si>
    <t>Google Scholar</t>
  </si>
  <si>
    <t>Adoption studies without concrete models</t>
  </si>
  <si>
    <t>M.S. Meera, Chakrabarti Deepankar, Totakura Bangar Raju, Jahnavi Haldiya</t>
  </si>
  <si>
    <t>Barriers towards blockchain adoption in seafood exports</t>
  </si>
  <si>
    <t>https://www.sciencedirect.com/science/article/pii/S266641272300020X</t>
  </si>
  <si>
    <t>Blockchain is a new technology that is seen to be transforming businesses across various industries. This technology provides transparency under all levels of business and it supports traceability across various supply chains which older technologies could not reach. This research explores various factors affecting the adoption of blockchain technology in seafood towards sustainable supplychain for exports. Based on feedback from seven companies, technique for order performance by similarity to ideal solution is deployed to identify important factors for sustainable supply chain solutions. Regulatory uncertainity emerges as the major factor, which calls for reforms in regulatory compliance. Implementation costs rank second and need to be reduced for better adoption of the technology.</t>
  </si>
  <si>
    <t>Blockchain; Technology adoption; Seafood exports; Small business; Supply chain; Topsis</t>
  </si>
  <si>
    <t>ScienceDirect</t>
  </si>
  <si>
    <t>Sumarliah E.; Li T.; Wang B.; Khan S.U.; Khan S.Z.</t>
  </si>
  <si>
    <t>Blockchain technology adoption in Halal traceability scheme of the food supply chain: evidence from Indonesian firms</t>
  </si>
  <si>
    <t>https://www.scopus.com/inward/record.uri?eid=2-s2.0-85146157790&amp;doi=10.1108%2fIJOEM-05-2021-0678&amp;partnerID=40&amp;md5=723447785e361269e155ace30806d118</t>
  </si>
  <si>
    <t>Purpose: The paper examines the intent to adopt blockchain-facilitated Halal traceability (BFHT) scheme in Indonesian firms' Halal food supply chain (SC). This study integrates Halal-focused attitude, innovation diffusion and institutional theories to construct the model. Design/methodology/approach: Data collection uses a simple random sampling method. Respondents are company leaders with experience and knowledge regarding Halal SC. The SEM-PLS approach was applied to test the hypothetical structure. Findings: The intent to adopt BFHT is considerably affected by perceived attractiveness, as perceived attractiveness is considerably affected by institutional forces, which are significantly influenced by Halal-focused attitude. Firms that follow a completely Halal-focused attitude show higher awareness regarding institutional forces that motivate them to adopt a BFHT. Originality/value: This research is among the initial works regarding Halal SCs that integrate Halal-focused attitude, innovation diffusion and institutional theories to recognise firms' intent to adopt a BFHT scheme. © 2022, Emerald Publishing Limited.</t>
  </si>
  <si>
    <t>Blockchain; Halal food; Innovation; Institutional theory; Supply chain; Traceability</t>
  </si>
  <si>
    <t>Article</t>
  </si>
  <si>
    <t>Scopus</t>
  </si>
  <si>
    <t>Ali, MH; Chung, LN; Tan, KH; Makhbul, ZM; Zhan, YZ; Tseng, ML</t>
  </si>
  <si>
    <t>Investigating blockchain technology adoption intention model in halal food small and medium enterprises: moderating role of supply chain integration</t>
  </si>
  <si>
    <t>Blockchain infrastructures' promising benefits and tremendous growth revolutionised supply chain; especially for the highly concerned industry with integrity issues such as halal food. Drawing on the technology, organisation, environment framework and diffusion of innovation theory, this study investigates the factors that affect halal food SMEs (HFSMEs). The questionnaires covering 500 halal-certified SMEs were conducted in Malaysia. The results showed that the theory of diffusion of innovation (DOI) and technological-organisational-environmental (TOE) model was tested with 175 respondents, showing top management support, trialability, external support, and competitive pressure are the critical factors influencing HFSMEs' intention to adopt BT. In contrast, relative advantage, compatibility, complexity, uncertainty and security, observability, organisational readiness, and government regulations show no effect on intention. In addition, supply chain integration (SCI) is a moderating factor in diffusing BT.</t>
  </si>
  <si>
    <t>Blockchain; intention to adopt; supply chain integration; halal food industry</t>
  </si>
  <si>
    <t>Rahim N.F.</t>
  </si>
  <si>
    <t>Rapid scoping review of blockchain adoption in halal industry supply chain</t>
  </si>
  <si>
    <t>https://www.scopus.com/inward/record.uri?eid=2-s2.0-85176749641&amp;doi=10.1063%2f5.0166546&amp;partnerID=40&amp;md5=69eafc5ed0c7a9f6ad90128ea4220a30</t>
  </si>
  <si>
    <t>The Halal industry is no longer solely a religious concern; rather, it is a lucrative business with a comprehensive framework to capture billions of Muslim markets worldwide. The development of Industrial Revolution 4.0 (IR 4.0) has made better governance for Halal quality assurance. This includes the Halal supply chain, with the adoption of technology such as blockchain, cloud computing, and artificial intelligence (Ai) in the Halal industry structure. However, the Halal supply chain is tarnished with controversial issues that shocked the Muslim community in Malaysia. As a result, academicians and industry players were brought forward for better traceability in the Halal supply chain and assurance pipeline. This rapid scoping review attempts to grasp the state-of-the-art blockchain adoption in the Halal supply chain. The rapid scoping review systems rely on Arksey and O'Malley's work [1]. The findings suggest that blockchain research and development in the Halal supply chain are still in their infancy. The issues like traceability, capability and company capacity, awareness, the readiness of the companies, and the government support are among the themes that emerge in the data charting. © 2023 AIP Publishing LLC.</t>
  </si>
  <si>
    <t>Conference paper</t>
  </si>
  <si>
    <t>Hasnan N.; Kohda Y.; Saad S.</t>
  </si>
  <si>
    <t>Mapping the Future of Halal Supply Chain Management: A Biblioshiny R Application</t>
  </si>
  <si>
    <t>https://www.scopus.com/inward/record.uri?eid=2-s2.0-85187710342&amp;doi=10.59953%2fpaperasia.v40i1%28b%29.46&amp;partnerID=40&amp;md5=adb988c6cbb9312f84643554551908c3</t>
  </si>
  <si>
    <t>The dynamic changes in the business environment unveil the evolvement of halal literature. Studies on halal encompass various perspectives such as terminologies of halal, halal certification, halal food, halal tourism and halal supply chain management (HSCM). Although HSCM plays a significant role in the success of the halal industry, HSCM literature is relatively developing. Hence, this research aims to analyze HSCM publications and visualize the emergent trend for future publication through a bibliometric analysis. The analysis was carried out on 290 articles in the Scopus database from 2009 to 2022. The data was then beingand processed and analysed using the Biblioshiny R application. The process involved investigating the number of keywords, citations, journals, and mapping themes. It was found that the number of publications in HSCM has progressively increased since 2009 and the Journal of Islamic Marketing has been the prime source in this field. Khan, Mi contributed the most publications whereas Tieman, M was the most influential author with the highest total citation of 593. An in-depth analysis of four quadrants that existed based on the network approach revealed themes such as blockchain, traceability system, halal orientation strategy, and sustainability are relevant and have the potential for the future of HSCM research. This research offers insight for researchers to venture into deeper thoughts and areas in HSCM and be useful for the practitioners in searching for betterment in the halal supply chain. © 2024, SHPMedia Sdn Bhd. All rights reserved.</t>
  </si>
  <si>
    <t>Bibliometric; Biblioshiny R application; Halal; Halal Supply Chain Management (HSCM)</t>
  </si>
  <si>
    <t>Bibliometric analyses</t>
  </si>
  <si>
    <t>Handayani D.I.; Vanany I.; Ciptomulyono U.</t>
  </si>
  <si>
    <t>Blockchain Application in Food Supply Chains: Bibliometric Analysis and Future Research</t>
  </si>
  <si>
    <t>https://www.scopus.com/inward/record.uri?eid=2-s2.0-85153790176&amp;doi=10.18461%2fijfsd.v14i2.F2&amp;partnerID=40&amp;md5=e3a8a35ca1c04ea4a7cff29ea6887c05</t>
  </si>
  <si>
    <t>This study aimed to organize and analyze studies on blockchain application in food supply chains and to discover emerging research themes and topics using cluster analysis to determine future research directions. Bibliometric analysis was used to organize and analyze the literature on blockchain application in food supply chains. The database consisted of 629 Scopus-indexed articles from 2016 to 2021. These were organized using bibliometric analysis (e.g., annual publication trends) and content analysis (e.g., research method applied). Themes and emerging research trends were then clustered based on keywords using the VOSviewer software. The analysis showed that manufacturing is the type of industry that most applies the blockchain. Trust is the most-cited benefit achieved by blockchain application, while traceability is the most-claimed function. Keyword classification resulted in seven main clusters (e.g., sustainability and transparency) and each cluster had emerging research trends (e.g., resilience toward sustainability and transparency). This research provides an overview of scientific development and emerging application trends related to blockchain application in food supply chains. © 2023, International Journal on Food System Dynamics. All Rights Reserved.</t>
  </si>
  <si>
    <t>bibliometric analysis; Blockchain application; food supply chains; halal supply chains; strategic diagram</t>
  </si>
  <si>
    <t>Rejeb, A; Rejeb, K; Abdollahi, A; Zailani, S; Iranmanesh, M; Ghobakhloo, M</t>
  </si>
  <si>
    <t>Digitalization in Food Supply Chains: A Bibliometric Review and Key-Route Main Path Analysis</t>
  </si>
  <si>
    <t>Technological advances such as blockchain, artificial intelligence, big data, social media, and geographic information systems represent a building block of the digital transformation that supports the resilience of the food supply chain (FSC) and increases its efficiency. This paper reviews the literature surrounding digitalization in FSCs. A bibliometric and key-route main path analysis was carried out to objectively and analytically uncover the knowledge development in digitalization within the context of sustainable FSCs. The research began with the selection of 2140 articles published over nearly five decades. Then, the articles were examined according to several bibliometric metrics such as year of publication, countries, institutions, sources, authors, and keywords frequency. A keyword co-occurrence network was generated to cluster the relevant literature. Findings of the review and bibliometric analysis indicate that research at the intersection of technology and the FSC has gained substantial interest from scholars. On the basis of keyword co-occurrence network, the literature is focused on the role of information communication technology for agriculture and food security, food waste and circular economy, and the merge of the Internet of Things and blockchain in the FSC. The analysis of the key-route main path uncovers three critical periods marking the development of technology-enabled FSCs. The study offers scholars a better understanding of digitalization within the agri-food industry and the current knowledge gaps for future research. Practitioners may find the review useful to remain ahead of the latest discussions of technology-enabled FSCs. To the authors' best knowledge, the current study is one of the few endeavors to explore technology-enabled FSCs using a comprehensive sample of journal articles published during the past five decades.</t>
  </si>
  <si>
    <t>agri-food; food supply chain; blockchain; IoT; big data; sustainability; food security; COVID-19; food safety; digitalization</t>
  </si>
  <si>
    <t>Fernando Y.; Hendayani R.; Jawo M.; Rahamaddulla S.R.; Abdul Aziz K.; Maimunah N.</t>
  </si>
  <si>
    <t>Discovering Islamic marketing potential in shaping blockchain-­based halal logistic services: a bibliometric analysis</t>
  </si>
  <si>
    <t>https://www.scopus.com/inward/record.uri?eid=2-s2.0-85207164112&amp;doi=10.1108%2fJIMA-06-2024-0258&amp;partnerID=40&amp;md5=3d09a2bf10ee9107e130969cc163d42e</t>
  </si>
  <si>
    <t>Purpose: This paper aims to examine the Islamic marketing literature to uncover potential customer adoption behaviours and enhance the effectiveness of blockchain-based halal logistics services in catering to customer demands. The findings of this paper provide substantial contributions to the realms of both halal logistics services and Islamic marketing literature, delineating future paths for research. By delving into halal logistics practices, integration procedures and service provider performance, this paper assists stakeholders in enhancing halal logistics services to meet the changing demands of customers effectively. Design/methodology/approach: This paper uses a systematic review incorporating bibliometric analysis to examine past and contemporary research topics, selecting and appraising contributions while analysing and consolidating data. A methodical approach has been used to identify, assess and incorporate pertinent studies on Islamic characteristics, traceability technology, blockchain integration and halal logistics practices. Findings: After screening and analysing 139 selected documents with the VOS viewer, it is evident that among a 1,000 keywords, 15 stand out in terms of frequency and link strength. The research highlights the considerable academic interest in themes such as “blockchain”, “halal logistics” and “supply chain”, underscoring their importance. The findings of this paper help bridge the gap in Islamic marketing by linking technology with religious values. It suggests that the integration of blockchain technology in halal logistics enhances operational efficiency while aligning with both operational and Islamic marketing principles, promoting ethical conduct and transparency as key enablers. Practical implications: The theoretical significance of this paper lies in establishing a correlation among three key research domains: technology, symbolised by blockchain; customer-centric operations, incorporating the halal supply chain and logistics within Islamic marketing. The outcomes reflect consumer behaviour and Shariah compliance. This integration has the potential to introduce innovative theoretical frameworks that encompass religious ethics in marketing, logistics and technological advancements. Originality/value: This paper comprehensively analyses the intersection between blockchain technology, halal logistics, supply chain management and Islamic marketing. The paper has comprehensively analysed previous studies and outlined the future research path for blockchain technology in halal logistics and its application in Islamic marketing literature. © 2024, Emerald Publishing Limited.</t>
  </si>
  <si>
    <t>Blockchain; Customer behaviour; Halal logistics; Islamic marketing; Muslim; SRuBA</t>
  </si>
  <si>
    <t>Review</t>
  </si>
  <si>
    <t>Changalima I.A.</t>
  </si>
  <si>
    <t>Halal supply chain management: A bibliometric analysis of the 100 most-cited publications from Scopus-indexed journals</t>
  </si>
  <si>
    <t>https://www.scopus.com/inward/record.uri?eid=2-s2.0-85211972719&amp;doi=10.1016%2fj.ssaho.2024.101248&amp;partnerID=40&amp;md5=11a1b0d915bf724dd014b5c69cd00160</t>
  </si>
  <si>
    <t>Despite the growing demand for bibliometric studies, especially in Halal research, specific bibliometric insights into influential publications in Halal supply chain management remain scant. This study uniquely conducts a bibliometric analysis of the 100 most-cited journal articles on Halal supply chain management based on data retrieved from Scopus (2008–2023). The study involved VOSviewer and Harzing's publish or perish as the main tools for data analysis. A total of 100 journal articles and reviews were analysed using keyword co-occurrence analysis and bibliographic coupling to identify several themes within the context of Halal supply chain management. The keyword co-occurrence analysis produced six themes, including “consumer behaviour and the application of blockchain in Halal supply chain”, “bibliometric analysis and literature review in the Halal food supply chain”, and “Islam and Halal logistics in Malaysia”. While bibliographic coupling produced seven themes, such as “food integrity and blockchain in Halal supply chain management”, and “the analysis of Halal logistics and supply chains on aspects such as adoption of Halal logistics, challenges and opportunities, service quality, and consumer behaviour”. Despite its limitations, the study highlights the novel insights and knowledge gaps on aspects linked to Halal supply chain management. The presented themes and insights contribute significantly to the body of Halal research by considering the bibliometric analysis on the 100 most-cited journal publications. © 2024 The Author(s)</t>
  </si>
  <si>
    <t>Bibliometric analysis; Halal; Halal logistics; Halal SCM; Islam; Supply chain management</t>
  </si>
  <si>
    <t>Mangruwa R.D.; Yunani A.; Nugraha M.F.; Tuzzahra F.; Syadira F.N.; Foon N.H.</t>
  </si>
  <si>
    <t>Mapping Research Blockchain Trends on Halal Supply Chain in Indonesia: A Bibliometric Analysis</t>
  </si>
  <si>
    <t>https://www.scopus.com/inward/record.uri?eid=2-s2.0-105001661050&amp;doi=10.1109%2fICICYTA64807.2024.10913468&amp;partnerID=40&amp;md5=aa3f19db59263d3e8d420a50f87218a2</t>
  </si>
  <si>
    <t>The Indonesian government, under Law Number 33 of 2014 on Halal Product Assurance, mandates halal certification for all products, creating a significant opportunity to enhance transparency and traceability within the halal supply chain. This study explores the potential of blockchain technology to meet these regulatory requirements by improving the integrity and consumer confidence in halal-certified products. Blockchain's integration into the halal supply chain could provide a reliable solution for traceability and transparency, essential for compliance and consumer trust. To investigate this, a bibliometric analysis is conducted, using Microsoft Excel for statistical data analysis and VOS viewer for network mapping. Key focus areas include traceability, transparency, and regulatory compliance, which are highlighted as crucial for strengthening consumer trust in halal products. As the halal market in Indonesia expands, blockchain presents a promising approach to reinforce supply chain integrity and enhance product credibility. This study highlights the need for continued development of frameworks that strengthen transparency and uphold halal integrity within a wider socio-economic context. These recommendations aim to support a resilient and compliant halal ecosystem in Indonesia, advocating models that align blockchain applications with the quality and regulatory standards crucial for the sustained growth of the halal sector  © 2024 IEEE.</t>
  </si>
  <si>
    <t>bibliometric; blockchain; Halal Supply Chain</t>
  </si>
  <si>
    <t>Digdowiseiso K.; Sugiyanto E.; Ria</t>
  </si>
  <si>
    <t>Research on the halal supply chain: A bibliometric analysis</t>
  </si>
  <si>
    <t>https://www.scopus.com/inward/record.uri?eid=2-s2.0-85217154143&amp;doi=10.31893%2fmultirev.2025178&amp;partnerID=40&amp;md5=3702746cd0a87fbab10d7513e27980fd</t>
  </si>
  <si>
    <t>The consumer's character is significant in determining the concept and industry strategy employed. An effective method for evaluating such matters is analyzing identifiable market segments based on trust. Contemporary adherents of Islam are currently undergoing significant progress, as they strongly embrace the concept of halal across various domains of life. Within the industrial realm, implementing the halal concept in the supply chain requires further investigation. Hence, this study aims to perform a bibliometric analysis of twenty years of research on the halal supply chain. The methodology entails bibliometric analysis utilizing network models, overlay, and density analyses. The tools utilized include VOSviewer and Publish or Perish. The research findings indicate that scientific articles were the prevailing type of paper, comprising 98 papers. The most productive journals typically study Islamic law and the halal supply chain. Extensive research was conducted on the halal supply chain in 2020. However, the least studied topics include blockchain technology and sustainability. © 2025, Malque Publishing. All rights reserved.</t>
  </si>
  <si>
    <t>industry strategy; islamic supply; research gap</t>
  </si>
  <si>
    <t>Masudin I.; Rahmatullah B.B.; Agung M.A.; Dewanti I.A.; Restuputri D.P.</t>
  </si>
  <si>
    <t>Traceability System in Halal Procurement: A Bibliometric Review</t>
  </si>
  <si>
    <t>https://www.scopus.com/inward/record.uri?eid=2-s2.0-85144680762&amp;doi=10.3390%2flogistics6040067&amp;partnerID=40&amp;md5=4de094a768c23807a9bbea02c17a5a36</t>
  </si>
  <si>
    <t>Background: The increasing Muslim population worldwide will increase the Islamic market share in the future. Thus, the higher demand for halal food has caused the food industry to pay attention to the quality control system for the ingredients used. This paper aims to review the previous literature regarding the traceability system for halal suppliers in the food supply chain to achieve the specified halal standards. It discusses the literature review as a method for conducting research and offers an overview of different types of reviews, as well as some guidelines to both conduct and evaluate a literature review. Methods: The method uses a sample of about 200 articles from the structured literature study period in 2007–2021. We use Perish application to identify journals, articles, citations, authors, and keywords. Results: The analysis reveals five research topic clusters: traceability, halal supply chain, food supply chain, halal logistics, and halal lifestyle. There is a strong relationship between procurement and traceability. Procurement is related to the food industry and halal traceability. The food product traceability system provides transparency in food manufacturing, enabling customers to trust halal product claims. The results show that food supply chain information systems can enable traceability and transparency. Conclusions: The review of this analysis is related to the supplier traceability system in the halal-food-production supply chain, which can help explore halal supplier issues and trends. For future research, technology can be used within a traceability system in the halal food industry, such as data interchange, radio frequency identification, and blockchain. © 2022 by the authors.</t>
  </si>
  <si>
    <t>halal; halal logistics; halal suppliers; procurement; traceability</t>
  </si>
  <si>
    <t>Nuraslina Zainal Abidin1, Dr. Firdaus Fanny Putera Perdana2</t>
  </si>
  <si>
    <t xml:space="preserve"> A Proposed Conceptual Framework for Blockchain Technology in Halal Food Product 
Verification </t>
  </si>
  <si>
    <t>http://journals.hh-publisher.com/index.php/JHIS/article/view/75</t>
  </si>
  <si>
    <t xml:space="preserve"> Despite rooted from Islamic needs, Halal certification also attracts both Muslims and non-Muslims. In fact, the non-Mus
lim players are the ones dominating the industry. It is widely known that Halal food chain is quite vulnerable due to complications in 
maintaining Halal integrity, the necessity to prevent doubtful materials, lack of control of food norms, and the importance to retain 
high quality. The presence of Halal certification is a form of consumer protection and therefore, the integrity of Halal certification 
must be carefully monitored. There are some Halal violation cases and this can potentially affect the reputation of the Halal food 
products. Therefore, it is important to develop a system that integrates a verifiable, open, and safe shared database that is not run by 
a centralised operator. Blockchain technology is the one that offers such. The study presents a conceptual framework for blockchain 
technology for Halal product verification for manufactured food products. The results are desired to help the food industry players in 
maintaining a system that can improve the transparency and the integrity of their Halal food chain. The system also intends to ensure 
the affordability and accessibility of Halal certification for as many industry players as possible as blockchain technology is believed 
to remove the complications in the certification process and reduce paperwork related cost.</t>
  </si>
  <si>
    <t xml:space="preserve"> blockchain; halal supply chain; halal certification; food verification; halal industry; technology solutions</t>
  </si>
  <si>
    <t>Conceptual frameworks only</t>
  </si>
  <si>
    <t>N. N. A. Nizar; S. A. S. Z. Abidin; M. N. Taib</t>
  </si>
  <si>
    <t>Smart Data for Sustainable Halal Supply Chain in Kuala Lumpur: A Proposal</t>
  </si>
  <si>
    <t>https://ieeexplore.ieee.org/stamp/stamp.jsp?arnumber=10087506</t>
  </si>
  <si>
    <t>Malaysiaâ€™s capital, Kuala Lumpur, has long served as the nationâ€™s commercial centre. It is in the centre of the nationâ€™s extensive network of transportation networks, and its population, transportation infrastructure, and activity dynamism are all expanding massively. Supply chain in a big city poses ample opportunities to capture and utilize associated smart data that can be used to enhance and improve efficiency, transparency and sustainability. Better monitoring and assurance of compliance with various standards and sustainability of the supply chain, including halal requirements can be done with introduction of new technologies that use smart data, such as the blockchain, Internet of Things (IoT), Artificial Intelligence (AI) and others. This paper explores the possibilities of smart data for a sustainable halal supply chain in Kuala Lumpur.</t>
  </si>
  <si>
    <t>smart data;halal supply chain;sustainability;traceability;Kuala Lumpur</t>
  </si>
  <si>
    <t>IEEE Conferences</t>
  </si>
  <si>
    <t>IEEE</t>
  </si>
  <si>
    <t>seng, M.-L.,Ha, H. M.,Tran, T. P. T.,Bui, T.-D.,Lim, M. K.,Lin, C.-W.andHelmi Ali, M.</t>
  </si>
  <si>
    <t>Data-driven on sustainable food supply chain: a comparison on Halal and non-Halal food system.</t>
  </si>
  <si>
    <t>https://www.tandfonline.com/doi/abs/10.1080/21681015.2022.2040622</t>
  </si>
  <si>
    <t>This study contributesadata-drivenof sustainable food supply chain with the comparison between Halal and non-Halal food, and suggestion for future studies and practical fulfillments. Although food supply chain is urged to become sustainable, there is a lack of a systematic data-driven describingthe most appropriate indicators to advance both Halal and non-Halal sustainable food supply chain.With an aim of comparing and analyzing up-to-datesustainable food supply chain, a combination of content analysis, fuzzy Delphi method, fuzzy decision-making trial and evaluation laboratory are presented. The results show that the most significant indicators for non-Halalsustainable food supply chainare food consumption, food safety, food security, resilience, food waste management. The most crucial indicators of Halal sustainable food supply chain consist of Halal certification, Halal supply chain trust, Islamic values, Halal food safety. A contemporary sustainable food supply chain is presented and future trends, challenges and opportunities are determined</t>
  </si>
  <si>
    <t>sustainable food supply chain;Halal;data-driven;content analysis; fuzzy decision-making trial and evaluation laboratory</t>
  </si>
  <si>
    <t>Stephen Sim</t>
  </si>
  <si>
    <t>BLOCKCHAIN FOR RESILIENT HALAL FOOD CERTIFICATION DURING THE POST-COVID ERA</t>
  </si>
  <si>
    <t>https://unissa.edu.bn/journal/index.php/jhst/article/download/718/618</t>
  </si>
  <si>
    <t>This study examines the overwhelming effects of the COVID-19 pandemic on the global food industry with a specific focus on the challenges faced by the Muslim community in validating and certifying Halal food. The unprecedented disruptions caused by the pandemic, including border closures and lockdown measures, underscored the urgent need for a sustainable ecosystem to ensure food security and maintain the integrity of Halal standards. This study explores the potential of blockchain technology as a robust and transparent solution for enhancing Halal food validation, certification, and auditing. Moreover, this research examines how blockchain is applied in the Halal sector using eHalal.io as a case study and netnography to understand online communities’ behaviour regarding Halal products. By facilitating secure transactions and instilling trust in the supply chain. Blockchain emerges as a transformative tool that can empower Halal authorities to adapt to the evolving demands of Muslim consumers, especially in the rapidly expanding online realm during crisis and post-pandemic era. Through an in-depth analysis of the benefits and implications of blockchain adoption, this study contributes to the discourse of leveraging technology to navigate the challenges Muslim communities face and establish resilient Halal food certification practices in the wake of and after the COVID-19 pandemic. These findings highlight the potential of blockchain as a catalyst for innovation, efficiency, and sustainability in the Halal food industry, paving the way for a more resilient and inclusive future.</t>
  </si>
  <si>
    <t>Blockchain, consumer behaviour, COVID-19, food security, Halal certification</t>
  </si>
  <si>
    <t>Munawar; Zulfiandri; Mugiyono A.</t>
  </si>
  <si>
    <t>Conceptual design for traceability and transparency in halal self-declared with blockchain</t>
  </si>
  <si>
    <t>https://www.scopus.com/inward/record.uri?eid=2-s2.0-85216689871&amp;doi=10.11591%2feei.v14i2.8634&amp;partnerID=40&amp;md5=9087d16f4a9ccc803ecaa8647792c6a4</t>
  </si>
  <si>
    <t>Halal self-declared is a halal certification procedure for small micro enterprises (SMEs). However, sufficient technology support is required to ensure the halal process’s transparency and traceability. By integrating blockchain-oriented software engineering (BOSE) technology with smart contracts and electronic product code information services (EPCIS), this study aims to deliver a conceptual design for traceability and transparency in halal self-declared. The effectiveness of the blockchain in storing data and disclosing private information to interested parties can be circumvented by utilizing both off-chain and on-chain technology. The effectiveness of blockchain data storage and the ability to disclose sensitive information to interested parties can be advantageous for both on-chain and off-chain applications. © 2025, Institute of Advanced Engineering and Science. All rights reserved.</t>
  </si>
  <si>
    <t>Blockchain; Self-declared; Smart contract; Traceability; Transparency</t>
  </si>
  <si>
    <t>Miftakhurrizal Kurniawan 1,2,*ORCID,Suparno Suparno 2 andIwan Vanany 2ORCID</t>
  </si>
  <si>
    <t xml:space="preserve">Conceptual Framework for Halal Supply Chain Traceability and Food Safety in Indonesia Based on Blockchain Technology and Internet of Things to Support Sustainable Development </t>
  </si>
  <si>
    <t>https://www.mdpi.com/2673-4591/84/1/27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</si>
  <si>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</si>
  <si>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halal supply chain; food safety; traceability; blockchain; internet of things</t>
  </si>
  <si>
    <t>Mardiyah R.; Ismail A.U.; Khairani D.; Durachman Y.; Rosyadi T.; Masruroh S.U.</t>
  </si>
  <si>
    <t>Conceptual Framework on Halal Meat Traceability to Support Indonesian Halal Assurance System (HAS 23000) using Blockchain Technology</t>
  </si>
  <si>
    <t>https://www.scopus.com/inward/record.uri?eid=2-s2.0-85123257039&amp;doi=10.1109%2fCITSM52892.2021.9588953&amp;partnerID=40&amp;md5=cfc4f13e0bcf1121e514e2b5e8536e2d</t>
  </si>
  <si>
    <t>The market for halal foods is rising in Indonesia, the world's largest Muslim population. Indonesia has not taken advantage of these resources; for example, the current Halal Assurance System was not implemented in collaboration with general stakeholders such as breeders, slaughterhouses, and logistics. This research explores how Blockchain technology can help with the integration and accountability of Halal Assurance System stakeholders' data activities. The use of Blockchain to improve halal product traceability that would boost consumer trust, raising awareness of the value of halal products. Furthermore, customers can access Blockchain in slaughtering activities on their smartphones to achieve food traceability. Focused on supporting the Indonesian Halal Assurance System (HAS 23000), this study proposes a food traceability system model using a blockchain conceptual method. Hopefully, it would help Indonesians to avoid the halal issue crisis in Indonesia. © 2021 IEEE.</t>
  </si>
  <si>
    <t>Blockchain; Halal Assurance; HAS 23000; Traceability</t>
  </si>
  <si>
    <t>Aries Susanty, Nia Budi Puspitasari, Ferry Jie, Fauzan Akbar Akhsan, Sumunar Jati</t>
  </si>
  <si>
    <t>Consumer acceptance of halal food traceability systems: a novel integrated approach using modified UTAUT and DeLone &amp; McLean models to promote sustainable food supply chain practices</t>
  </si>
  <si>
    <t>https://www.sciencedirect.com/science/article/pii/S2772390925000253</t>
  </si>
  <si>
    <t>With the growing demand for sustainable and transparent food supply chains, consumer awareness of Halal integrity is rising, highlighting the need for a Halal food traceability system to enhance consumer confidence by providing detailed production information. However, the factors influencing consumer acceptance of such systems in Indonesia remain unclear. This study addresses three key objectives: (1) assessing consumer intention to use a Halal food traceability system; (2) exploring the relationships between system quality, information quality, service quality, performance expectancy, effort expectancy, social influence, and trust and consumer behavioural intention; and (3) evaluating the effectiveness of an integrated model combining the modified Unified Theory of Acceptance and Use of Technology (UTAUT) and the DeLone &amp; McLean Information System Success Model (D&amp;M IS Success Model) in understanding consumer intention. This study develops and tests three models through an online survey conducted in 2023, targeting individuals aged 17–42 with a significant interest in Halal food products. The results from 255 respondents indicate a strong interest in adopting the system, with performance expectancy, effort expectancy, social influence, and trust identified as key drivers of consumer intention. These findings offer valuable insights for Halal industry managers to enhance traceability and transparency in the food supply chain, promoting more efficient and ethical food production systems. This research could contribute to clean, green, sustainable, and low-carbon logistics and supply chain management by addressing the increased demand for traceability systems, which help track the Halal status of products and promote various sustainability factors, including process efficiency, waste reduction, and carbon footprint minimization.</t>
  </si>
  <si>
    <t>Behavioral intention; D&amp;M IS success model; Halal food traceability system; UTAUT</t>
  </si>
  <si>
    <t>Sunmola, F; Baryannis, G; Tan, A; Co, K; Papadakis, E</t>
  </si>
  <si>
    <t>Holistic Framework for Blockchain-Based Halal Compliance in Supply Chains Enabled by Artificial Intelligence</t>
  </si>
  <si>
    <t>The global halal market is growing, driven by rising stakeholder populations and increasing consumer interest in ethical and sustainable food choices. This surge in demand necessitates robust halal compliance throughout complex supply chains. However, there are several challenges, including fragmented information, increased understanding of halal requirements among stakeholders, and difficulties in tracing product provenance. This paper proposes a holistic framework for halal certification and compliance, addressing these challenges through the integration of artificial intelligence (AI) and blockchain technologies. AI can automate halal compliance checks, identify potential irregularities in sourcing and composition, and facilitate risk management. The blockchain offers an ideal platform for tracking product provenance throughout the halal supply chain. This ensures trust and confidence among consumers by providing verifiable information on ingredient origin and production processes. This paper further strengthens the potential of this framework by presenting an illustrative example that utilises knowledge graphs, machine learning, and smart contracts. This exemplifies the potential application of the proposed framework in the context of halal pre-certification processes. By fostering transparency and streamlining compliance procedures, the proposed holistic framework, empowered by AI and the blockchain, can significantly enhance trust and confidence among stakeholders within the halal food industry.</t>
  </si>
  <si>
    <t>halal certification; artificial intelligence; blockchain; knowledge graph; machine learning; supply chain</t>
  </si>
  <si>
    <t>I. Vanany; N. A. Rakhmawati; S. Sukoso; J. M. Soon</t>
  </si>
  <si>
    <t>Indonesian Halal Food Integrity: Blockchain Platform</t>
  </si>
  <si>
    <t>https://ieeexplore.ieee.org/stamp/stamp.jsp?arnumber=9297968</t>
  </si>
  <si>
    <t>Blockchain application provides potential benefits to the food industry and its supply chain. Several studies have been conducted to develop the model of blockchain application for the food industries and supply chain. However, very few studies proposed the model of blockchain application for halal food integrity. The purpose of this paper is to propose the conceptual framework and blockchain architecture, and Hyperledger fabric for Indonesian halal food integrity. Review of previous literature and interview with government authority were conducted to verify the proposed framework and blockchain architecture. Business players, including halal supervisor and Indonesian halal authority, are the two main layers which affect the Indonesian halal food integrity based on the blockchain platform.</t>
  </si>
  <si>
    <t>Halal Food;Integrity;Supply Chain;Blockchain</t>
  </si>
  <si>
    <t>Ismail S.; Nazarudin N.; Francis F.J.; Muhamad M.Z.</t>
  </si>
  <si>
    <t>Traceability-Technology-Training (3T) Framework for Halal Logistics at Small Medium Enterprises</t>
  </si>
  <si>
    <t>https://www.scopus.com/inward/record.uri?eid=2-s2.0-85122919972&amp;doi=10.1109%2fICRIIS53035.2021.9617030&amp;partnerID=40&amp;md5=9316d2d7ce6b13adf2665c27e2bb09ea</t>
  </si>
  <si>
    <t>With the hype of blockchain technology in realizing the fourth industry revolution (4IR), it is perceived that there are challenges in terms of commitment among the companies involved in the supply chain, mainly the small and medium enterprises (SMEs) performing the logistics operations. In order to be the leading global Halal hub, Malaysia needs to support these companies to ensure that halal traceability issues could be solved with the technology for 4IR. In most cases, only manufacturer or producer is required to be awarded with halal certification, instead of every company within the supply chain, which mainly covers the whole logistics operations. Regardless of the halal integrity at the source, the halal compliance and traceability during the logistics processes would be in question if the products are not handled properly or being mixed with non-halal products along the supply chain. This research has conducted interview survey on logistics SMEs in Malaysia to investigate the issues regarding implementing new technology for halal traceability. As a result, this paper proposes a conceptual Traceability-Technology-Training (3T) Framework as a guide for the governing bodies to support the halal logistics initiative at company level, with bottom-up approach. © 2021 IEEE.</t>
  </si>
  <si>
    <t>blockchain technology; fourth industry revolution (4IR); halal logistics; halal traceability; small and medium enterprises; supply chain management</t>
  </si>
  <si>
    <t>Handayani, DI; Vanany, I</t>
  </si>
  <si>
    <t>Blockchain Application in Halal Supply Chain: Literature Review and Future Research</t>
  </si>
  <si>
    <t>Blockchain application in supply chain and halal has risen in recent years. This can be seen by increasing the number of papers published. The purpose of this paper was to review and analyze the previous papers on blockchain application in supply chain and halal supply chain using a systematic literature review based on the Scopus database from 2017-2021. The findings indicate that the literature review methods the most of research method used, manufacturing is the most blockchain application of industry type, trust is the most benefits achieved of blockchain application, traceability system is the most function of blockchain application. The main contribution of this paper is the systematic classification of the relevant literature on blockchain application on supply chain and halal. Therefore, academics might find the helpful review and discussion for further research.</t>
  </si>
  <si>
    <t>Blockchain application; supply chain; halal supply chain</t>
  </si>
  <si>
    <t>Proceedings Paper</t>
  </si>
  <si>
    <t>Literature review only</t>
  </si>
  <si>
    <t>Zulihuma K.; Shibghatullah A.S.B.</t>
  </si>
  <si>
    <t>Blockchain Technology for Halal Supply Chain Management</t>
  </si>
  <si>
    <t>https://www.scopus.com/inward/record.uri?eid=2-s2.0-85125134717&amp;partnerID=40&amp;md5=ed5d3f34714514e2eddf7596aaf9e0a4</t>
  </si>
  <si>
    <t>Blockchain technology (BT) is a distributed and decentralized database that store transaction information in a network. Due to providing better visibility and transparency, this technology has gained a considerable attention in the recent years. This research is carried out with the purpose of exploring the potential of blockchain technology to increase supply chain integrity in halal food industry. Therefore, a literature on BT and its adoption in the halal supply chain is given and a model is developed to identify the influence of BT on halal supply chain. Three features of smart contract including traceability, decentralized, and anonymity are added to the model as moderators to explore their influence on integrity of halal supply chain. © The 2022 International Conference on Artificial Life and Robotics (ICAROB2022).</t>
  </si>
  <si>
    <t>Blockchain Technology; Halal Supply Chain; Supply Chain Integrity</t>
  </si>
  <si>
    <t>Heikal M.; Rachman A.; Muizzudin; Falahuddin</t>
  </si>
  <si>
    <t>Digitalization of Halal Food Supply Chain Management Based on Blockchain Technology</t>
  </si>
  <si>
    <t>https://www.scopus.com/inward/record.uri?eid=2-s2.0-85206108073&amp;doi=10.1007%2f978-981-97-5400-7_7&amp;partnerID=40&amp;md5=e7abde072f8d7c32be6837beee6b4a86</t>
  </si>
  <si>
    <t>Digital transformation in Indonesia has witnessed significant growth, evident in the increasing number of internet users nationwide. Digital transformation plays a role in accelerating connectivity within various sectors, including the halal industry. The government, through the Halal Certification Agency, known as BPJPH, has made a breakthrough in digitizing halal certification, both regular and self-declared. Digitalizing halal certification has brought several advantages, notably facilitating halal certification registration for micro and small enterprises (MSEs). This digital approach offers convenience as it removes constraints related to time and geographical limitations. However, it is essential to note that the current digitization of halal certification has not yet integrated a comprehensive halal tracking system for food products from upstream to downstream, making it challenging to trace the halal status of products from producers, distributors, and retailers to consumers. This study employed a descriptive qualitative research method, utilizing a literature study. Data was primarily derived from secondary sources, such as data, regulations, documents, articles, and others related to blockchain technology and its use in the halal food supply chain. This research found that digitizing the halal food supply chain using blockchain technology allows users to record every transaction and related information within a decentralized block secured by cryptography. This results in a unilaterally distributed and immutable system, enabling stakeholders, such as producers, distributors, retailers, and consumers, to track every step in the supply chain of halal products with accuracy. Furthermore, blockchain technology-based digitization in the halal food industry in Indonesia adheres to the principles of Halal Traceability, Halal Assets Specificity, Halal Quality Assurance, Halal Trust, and Halal Commitments involving multi-stakeholders. © The Author(s), under exclusive license to Springer Nature Singapore Pte Ltd. 2024.</t>
  </si>
  <si>
    <t>Blockchain; Chain; Digitalization; Halal; Technology</t>
  </si>
  <si>
    <t>Sugandh Arora, Sumit Oberoi, Tawheed Nabi, Balraj Verma,</t>
  </si>
  <si>
    <t>How does blockchain impact sustainable food security? Insights from literature review</t>
  </si>
  <si>
    <t>https://www.sciencedirect.com/science/article/pii/S266709682400065X</t>
  </si>
  <si>
    <t>Blockchain technology can enhance sustainable food security because of its distinct characteristics such as traceability, decentralized and unchangeable databases, and smart contract protocols. Nevertheless, blockchain technology in agricultural applications is still in the early stages of development. Therefore, this study aims to ascertain the efficiency and cognitive framework of blockchain technology for attaining long-term food security. This study used a review-based approach to ascertain the intellectual framework. A literature search was conducted using the "Scopus" database to locate research articles published between 2017 and 2023. A “systematic literature review” was performed using the PRISMA framework on the 52 eligible publications. The study results indicated that traceability, real-time information availability, and immutably distributed databases were the most influential factors. The results showed that blockchain technology has benefits beyond facilitating reliable data dissemination and establishing intimate bonds between manufacturers and clients. Furthermore, blockchain technology may pave the way for less food waste, improved supply chains and agricultural working environments, and more environmentally responsible eating practices. This study is the first of its kind to assess the intellectual structure of food security and augment the cognition of the in-depth examination of the benefits of blockchain technology that might ultimately provide a way to achieve zero-hunger goals.</t>
  </si>
  <si>
    <t>Food security; Disruptive; Supply chain; Blockchain; Sustainability; Systematic literature review (SLR)</t>
  </si>
  <si>
    <t>Miftakhurrizal Kurniawan1,2,1, Suparno Suparno2, and Iwan Vanany2</t>
  </si>
  <si>
    <t>Implementation blockchain technology and the internet of things in halal supply chain traceability and food safety: A systematic literature review</t>
  </si>
  <si>
    <t>https://prosiding.umy.ac.id/ictced/index.php/ictced/article/view/75</t>
  </si>
  <si>
    <t>Many  people  currently  need  help  guaranteeing  food  products. Halal assurance and food safety are examples of the issues addressed. Many cases occur in the food world, such as poisoning, product contamination, and non-halal  products   for  Muslims,   giving   riseto  traceability   activities. Blockchain technology and the internet of things are one way to solve the problem of halal supply chain traceability and food safety. With abundant literature in recent years, blockchain and the internet of things havebecome significant concerns for researchers worldwide. The author tries to show the structure,  scope,  research  trends,  and  influence  of  blockchain  and  the internet  of  things  in  halal  supply  chain  traceability  and  food  safety  by analyzing existing studies.The study finds that researchers primarily focus on  the  possibility  of  blockchain  and  the  internet  of  things  becoming dominant  technologies  in  increasing  trust  among  stakeholders  in  the  food supply chain</t>
  </si>
  <si>
    <t>Conference</t>
  </si>
  <si>
    <t>Abderahman Rejeb a
, 
Karim Rejeb b
, 
Suhaiza Zailani c
, 
Horst Treiblmaier d
, 
Karen J. Hand e</t>
  </si>
  <si>
    <t>Integrating the Internet of Things in the halal food supply chain: A systematic literature review and research agenda</t>
  </si>
  <si>
    <t>https://www.sciencedirect.com/science/article/pii/S2542660521000056</t>
  </si>
  <si>
    <t>To address consumers’ concerns regarding food integrity, halal food businesses need to rethink their conventional supply chains and leverage new technologies. The emergence and proliferation of the Internet of Things (IoT) - the use of interconnected devices, sensors, and technologies to orchestrate, monitor, and optimize supply chain processes - holds innovative potentials for the halal food supply chain (HFSC). Despite the growing popularity in supply chain management and logistics, the potentials and challenges of IoT in the HFSC remain – unexplored and further research is required . Therefore, the goal of this paper is to address this knowledge gap and review IoT research within the context of HFSCs. To begin, over seventy-three (73) papers were analyzed using both bibliometric techniques and in-depth content analysis. The results reveal that IoT offers five major benefits for the HFSC; namely, traceability of products, enhancement of supply chain efficiencies, facilitation of livestock management, authentication of foods’ halal status, and monitoring of halal certifications. Several challenges were identified, including the technical limitations of IoT devices, technological immaturity, lack of user acceptance, and cost and regulatory barriers. The study's findings provide deeper insight into the current state of IoT research in the halal food literature, its development, challenges and future research avenues for scholars, policy makers and the HFSC community.</t>
  </si>
  <si>
    <t>Halal food Supply chain Internet of Things Opportunities Challenges</t>
  </si>
  <si>
    <t>Azizah S.N.</t>
  </si>
  <si>
    <t>Online Traceability of Halal Food Information to Protect Muslim Consumers in the Cyber Era</t>
  </si>
  <si>
    <t>https://www.scopus.com/inward/record.uri?eid=2-s2.0-85131443844&amp;doi=10.5281%2fzenodo.4766544&amp;partnerID=40&amp;md5=8addaef1c209cded0a0f595826798722</t>
  </si>
  <si>
    <t>This study aimed to determine the effect of halal awareness and traceability on consumer purchase decisions. The study focuses on the customer perspective on halal food product buying intentions in the internet era. The consumer perspective emphasizes the factors contributing to halal knowledge and the purchasing decisions associated with halal products. The study examined the effect of halal traceability on the relationship between halal awareness and consumer purchasing intentions. The quantitative research methodology was used, and questionnaires were delivered in person and online to collect data from 350 consumers. The results were analyzed using the SEM method. The study's findings indicate that halal awareness affects customers' purchase intentions. Additionally, religiosity, blockchain as a metric of traceability, and knowledge all influenced consumers' purchase decisions. Halal traceability mediated the association between halal awareness and customer purchasing intentions positively. The study has policy ramifications and implications for academics and marketers. © 2020. International Journal of Cyber Criminology</t>
  </si>
  <si>
    <t>Blockchain; Consumer intention; Halal awareness; Halal traceability</t>
  </si>
  <si>
    <t>Non-Technical</t>
  </si>
  <si>
    <t>Hew J.-J.; Wong L.-W.; Tan G.W.-H.; Ooi K.-B.; Lin B.</t>
  </si>
  <si>
    <t>The blockchain-based Halal traceability systems: a hype or reality?</t>
  </si>
  <si>
    <t>https://www.scopus.com/inward/record.uri?eid=2-s2.0-85086110094&amp;doi=10.1108%2fSCM-01-2020-0044&amp;partnerID=40&amp;md5=33fc26c028b30dfec3d7eb94b0445b11</t>
  </si>
  <si>
    <t>Purpose: Given the emerging nature of integrating blockchain into food traceability systems, this study aims to investigate the intention to participate in a blockchain-based Halal traceability system through a united model that consists of Halal orientation strategy, institutional theory and diffusion of innovation theory. Design/methodology/approach: A sample that consists of 143 Malaysian Halal food and beverage manufacturers was drawn from Halal Malaysia Official Portal using the simple random sampling technique. The responses were collected from the key managerial personnel with experience and knowledge on the Halal supply chain using phone interviews. Subsequently, the partial least squares structural equation modelling approach was then used to analyse the theoretical model. Findings: The manufacturers would go through a chain of the process before deciding to participate in the traceability system. Firstly, the manufacturers which practice a comprehensive Halal orientation strategy will be more perceptive towards the institutional pressures that demand them to participate in a traceability system. Secondly, in response to the pressures, the manufacturers would evaluate the technological characteristics of the system and subsequently develop their perceived desirability. Thirdly, the manufacturers with favourable perceived desirability shall decide to participate in the system. Originality/value: This study advances the current literature of Halal supply chain, information systems, operations management and blockchain through an integrated model that could explain 73.19% of the variance in intention to participate. © 2020, Emerald Publishing Limited.</t>
  </si>
  <si>
    <t>Blockchain; Diffusion of innovation theory; Food industry; Food security; Food traceability systems; Halal orientation strategy; Innovation; Institutional theory; Supply-chain management</t>
  </si>
  <si>
    <t>A.S. Patel, M.N. Brahmbhatt, A.R. Bariya, J.B. Nayak, V.K. Singh</t>
  </si>
  <si>
    <t>Blockchain technology in food safety and traceability concern to livestock products</t>
  </si>
  <si>
    <t>https://www.sciencedirect.com/science/article/pii/S2405844023037337</t>
  </si>
  <si>
    <t>Livestock products share more than fifteen percent of total agri-foods traded worldwide. A global increase in food demand has increased the risk to food safety. Improvements in food quality, cold chain transit, and preservation are required for safe livestock products. Though, the food safety and regulation authorities demand complete food traceability from farm to fork, but in traditional supply chain it is ignored by fiddling with the transit paperwork and bill invoices. The process of supply chain reformation and activities linked to food recalls during food safety issues are insanely expensive and challenging. Traceability-driven food supply chain management is likely to implement novel technologies like the Internet of Things (IoT). The capability of the Blockchain era within the food sector is emerging with use cases across different regions, as shown via the growing number of studies. Credibility, efficiency, and safety are all improved when food products can be instantly traced from their point of origin through all points of contact on their way to the consumer. Blockchain assures a tamper-proof and transparent system that allows an innovative business solution, together with smart contracts. However, there are significant difficulties with the implementation of blockchain technology for food traceability. It necessitates more and more training platforms as well as trainers, who can make understanding and operability of this technology easy among ground-level participants and food entities. For the tactical application of this technology, it is essential to comprehend the legal and regulatory framework.</t>
  </si>
  <si>
    <t>Food traceability; Blockchain technology; Food supply chain; Livestock products</t>
  </si>
  <si>
    <t>Ratih Hendayani</t>
  </si>
  <si>
    <t>Halal Supply Chain Growth</t>
  </si>
  <si>
    <t>https://www.sciencedirect.com/science/article/pii/B978044313701300102X</t>
  </si>
  <si>
    <t>The increasing awareness of the global community regarding halal products encourages global companies, especially those already involved in the production of halal products, to better understand and implement sharia logistics and supply chain processes referring to halal certification determined by certification bodies in each country. It is not only the logistics distribution process that must always be monitored, but also all processes in the supply chain to meet halal requirements. This means that companies must be able to invite other supply chain actors involved, such as suppliers, distributors and retailers, to jointly comply and commit to running a halal supply chain. To facilitate integration and collaboration among halal supply chain actors to remain committed, technology is needed as a support system.</t>
  </si>
  <si>
    <t>Halal logistic; Halal supply chain; Information system; Supply chain stage commitment</t>
  </si>
  <si>
    <t>Marco Tieman, Mohd Ridzuan Darun</t>
  </si>
  <si>
    <t>Leveraging Blockchain Technology for Halal Supply Chains</t>
  </si>
  <si>
    <t>https://www.icrjournal.org/index.php/icr/article/view/167</t>
  </si>
  <si>
    <t>Halal supply chains are vulnerable due to their credence quality attributes, importance of maintaining halal integrity throughout the supply chain, need to avoid doubt, lack of control of food norms, and sensitivity of the Muslim consumer towards halal. These vulnerabilities make halal supply chains complex to design, manage, and optimise. Transparency of halal supply chains is needed in order to ensure trust and authenticity of a halal brand. The principle of a shared database that is safe, open and verifiable without a central operator is an attractive proposition to embed trust and authenticity for halal food, cosmetics, home care, and pharmaceuticals.</t>
  </si>
  <si>
    <t>Rejeb A.; Keogh J.G.; Zailani S.; Treiblmaier H.; Rejeb K.</t>
  </si>
  <si>
    <t>Blockchain Technology in the Food Industry: A Review of Potentials, Challenges and Future Research Directions</t>
  </si>
  <si>
    <t>https://www.scopus.com/inward/record.uri?eid=2-s2.0-85101303045&amp;doi=10.3390%2flogistics4040027&amp;partnerID=40&amp;md5=75afc20ab66bb0f38392c2e154a1ab99</t>
  </si>
  <si>
    <t>Blockchain technology has emerged as a promising technology with far-reaching implications for the food industry. The combination of immutability, enhanced visibility, transparency and data integrity provides numerous benefits that improve trust in extended food supply chains (FSCs). Blockchain can enhance traceability, enable more efficient recall and aids in risk reduction of counterfeits and other forms of illicit trade. Moreover, blockchain can enhance the integrity of credence claims such as sustainably sourced, organic or faith-based claims such as kosher or halal by integrating the authoritative source of the claim (e.g., the certification body or certification owner) into the blockchain to verify the claim integrity and reassure business customers and end consumers. Despite the promises and market hype, a comprehensive overview of the potential benefits and challenges of blockchain in FSCs is still missing. To bridge this knowledge gap, we present the findings from a systematic review and bibliometric analysis of sixty-one (61) journal articles and synthesize existing research. The main benefits of blockchain technology in FCSs are improved food traceability, enhanced collaboration, operational efficiencies and streamlined food trading processes. Potential challenges include technical, organizational and regulatory issues. We discuss the theoretical and practical implications of our research and present several ideas for future research. © 2020 by the authors.</t>
  </si>
  <si>
    <t>bibliometric analysis; blockchain technology; challenges; food supply chain; potentials; systematic literature review</t>
  </si>
  <si>
    <t>Maidin S.S.; Yahya N.; Othman M.; Suliman A.; Nghiem T.-L.; Thu T.N.T.</t>
  </si>
  <si>
    <t>Governing the Halal Supply Chain using Blockchain Technology in Malaysia</t>
  </si>
  <si>
    <t>https://www.scopus.com/inward/record.uri?eid=2-s2.0-85147004972&amp;doi=10.1109%2fICDI57181.2022.10007176&amp;partnerID=40&amp;md5=a216771dc397d9404c2c2c83fd76e578</t>
  </si>
  <si>
    <t>This paper is a review paper that focuses on the governance of the halal supply chain using blockchain technology. From the review, it is found that the current problem being faced in the halal supply chain cycle is related to transparency, traceability, and also governing the process for timely decision-making. Despite having many authorities in handling halal related-matters, challenges still exist in the halal supply chain. Therefore, the paper is focusing into the review on how the challenges can be onvercome through the invention of blockchain technology.  © 2022 IEEE.</t>
  </si>
  <si>
    <t>blockchain; governance; halal; traceability; transparency</t>
  </si>
  <si>
    <t>Bux C.; Varese E.; Amicarelli V.; Lombardi M.</t>
  </si>
  <si>
    <t>Halal Food Sustainability between Certification and Blockchain: A Review</t>
  </si>
  <si>
    <t>https://www.scopus.com/inward/record.uri?eid=2-s2.0-85124836444&amp;doi=10.3390%2fsu14042152&amp;partnerID=40&amp;md5=a981468e7b89c7ee6abd20e4c10b4467</t>
  </si>
  <si>
    <t>Islam is the second-largest religion on a global scale. All around the world Muslims are estimated to comprise more than 1.9 billion people. Therefore, the demand for Halal commodities is expected to reach a high growth rate: thus, it is crucial to increase its global market’s reliability and traceability. Based on these grounds, the scope of this paper is to assess Halal food sustainability, examining the barriers and opportunities offered by the certification and blockchain tools. To this purpose, the authors carried out an integrative literature review, selecting 54 contributions in the Web of Science platform. Despite several limitations, such as the lack of a standardized framework or universally accepted and reliable certifying authorities, the implementation of blockchain technology has emerged as an interesting instrument to increase the trustworthiness and traceability of Halal foods. This tool could also help the development of protocols and standard procedures, ensuring hygienic and permitted products that may boost food safety and security. Besides, the enhancement of the Halal certification and the blockchain tool, even if several efforts are required in terms of innovation and cooperation by local authorities, industrial associations and leading consumers, could enhance fair trade, ethical business, green animal breeding and environmental economics, and hence sustainable development. © 2022 by the authors. Licensee MDPI, Basel, Switzerland.</t>
  </si>
  <si>
    <t>Blockchain; Certification; Food safety; Halal food products; Integrative literature review; PRISMA model; Sustainability</t>
  </si>
  <si>
    <t>Ardiantono D.S.; Ardyansyah G.D.; Sugihartanto M.F.; Al Mustofa M.U.; Lisdiantini N.</t>
  </si>
  <si>
    <t>Mapping the barrier and strategic solutions of halal supply chain implementation in small and medium enterprises</t>
  </si>
  <si>
    <t>https://www.scopus.com/inward/record.uri?eid=2-s2.0-85193601150&amp;doi=10.1108%2fJIMA-08-2022-0229&amp;partnerID=40&amp;md5=c88a64cbcae24b0551ce0d3206103906</t>
  </si>
  <si>
    <t>Purpose: This study aims to identify the challenges, promote respective solutions and construct strategies for the implementation of the halal supply chain in Indonesia’s small and medium-sized enterprises (SMEs). Design/methodology/approach: This research used the analytic network process in nine respondents categorised into three groups of relevant stakeholders: government, academia and industry. Findings: Seven essential criteria for the implementation of a halal supply chain in SMEs were identified, namely, the process, packaging, storage, transportation, fundamental aspects, supporting policy and technology. Notably, the high cost of adopting blockchain technology was the most crucial issue, particularly in SMEs. Practical implications: Through the findings, several critical factors to consider in the implementation of halal supply chains for SMEs were identified. The investment in halal supply chain technology, which incurs a high cost carried by entrepreneurs, is a burden for SMEs. For this reason, further studies are required to formulate and develop cost-effective halal supply chain technology for SMEs. Originality/value: To the best of the authors’ knowledge, this research is the first attempt of comprehensively mapping the barriers and developing strategic solutions to implement the halal supply chain by Indonesia’s SMEs. © 2024, Emerald Publishing Limited.</t>
  </si>
  <si>
    <t>Analytical network process; Halal industry; Small and medium-sized enterprises; Supply chain management</t>
  </si>
  <si>
    <t>Shuib A.; Ibrahim I.; Yusoff F.H.</t>
  </si>
  <si>
    <t>Traceability System of Halal Chicken Supply Chain</t>
  </si>
  <si>
    <t>https://www.scopus.com/inward/record.uri?eid=2-s2.0-85114630117&amp;doi=10.1109%2fICSGRC53186.2021.9515246&amp;partnerID=40&amp;md5=fa961385bcab40a23f8426abf686dd5f</t>
  </si>
  <si>
    <t>Halal authenticity together with toyyiban are necessities in Halal food supply chain including the Halal meat supply chain (HMSC), where methods and processes in stages involved must be executed according to Syariah. Halal Traceability System (HTS) is a key solution for verification of the Halal status of meats thus ensuring Halal integrity of the HMSC. Past studies concerning HMSC, especially those related to the Halal chicken meat supply chains (HCMSC) are discussed. This paper also describes some technologies that could be incorporated in the HTS by highlighting their impacts towards Halal transparency and traceability in HCMSC other than quality and efficiency. This paper proposes a preliminary concept of a blockchain based HCMSC Traceability System which makes use of QR code, RFID and IoT.  © 2021 IEEE.</t>
  </si>
  <si>
    <t>blockchain technology; broiler; Halal chicken meat supply chain; Halal meat supply chain; Halal traceability system; IoT; QR code; RFID</t>
  </si>
  <si>
    <t>Musadik S.H.S.A.</t>
  </si>
  <si>
    <t>Technology Application in Halal Food Manufacturing in Malaysia</t>
  </si>
  <si>
    <t>https://www.scopus.com/inward/record.uri?eid=2-s2.0-85207564398&amp;doi=10.1007%2f978-981-97-1375-2_12&amp;partnerID=40&amp;md5=60714bad19457d3b82ae7a002d124566</t>
  </si>
  <si>
    <t>The size of halal food and beverage products is predicted to continue expanding extensively as the Muslim population continues to grow, particularly in areas such as the Middle East, Southeast Asia, and parts of Africa. In addition, the immense interest in halal products among non-Muslim consumers also sparks the expansion of halal product demand and production. Some non-Muslim consumers believe that halal products are related to healthy and quality products and perceive that the production of halal products complies with quality assurance and government legislation. Hence, to tap into this growing market, halal food and beverage manufac-turers in Malaysia are striving to improve their production by applying technology as an additional tool. For the time being, RFID technology stands out as the most advanced technology tools for monitoring and verifying halal items, particularly for authentication purposes. Halal Food manufacturer in Malaysia is still in infants’ stage to apply the other advance technology application such as blockchain technology. © The Editor(s) (if applicable) and The Author(s), under exclusive license to Springer Nature Singapore Pte Ltd. 2024.</t>
  </si>
  <si>
    <t>Food manufacturing; Food safety; Halal food; Halal industry; Technology</t>
  </si>
  <si>
    <t>Book chapter</t>
  </si>
  <si>
    <t>Review paper</t>
  </si>
  <si>
    <t>Nawaz, A; Afzal, A; Khatibi, A; Shankar, A; Madan, H; Faisal, HS; Shahbaz, A; Usman, I; Zulfiqar, N; Saeed, F; Ahmed, A; Imran, A; Afzaal, M; Karni, A; Ahmed, F; Akram, N; Rasheed, M; Islam, F</t>
  </si>
  <si>
    <t>Role of artificial intelligence in halal authentication and traceability: A concurrent review</t>
  </si>
  <si>
    <t>The convergence of artificial intelligence (AI) and the halal food industry represents a significant and transformative intersection, driven by the need to ensure the authenticity, safety, and compliance of halal food products in an increasingly complex global market. This review paper examines the applications, implications, and impact of AI technologies within the halal food sector. AI technologies, including machine learning, computer vision, natural language processing, and blockchain, are explored in the context of their contributions to addressing key challenges and opportunities. These technologies play a vital role in enhancing quality control, supply chain transparency, and consumer trust, and they offer solutions for the certification and monitoring of halal compliance. It further delves into examining how AI contributes to ensuring halal compliance, enhancing quality control, improving supply chain transparency, and fortifying consumer trust.</t>
  </si>
  <si>
    <t>Halal food; AI technologies; Applications; Quality control; Supply chain</t>
  </si>
  <si>
    <t>Review paper/Non-Technical</t>
  </si>
  <si>
    <t>Priyanka Bothra, Raja Karmakar, Sanjukta Bhattacharya, Sayantani De</t>
  </si>
  <si>
    <t>How can applications of blockchain and artificial intelligence improve performance of Internet of Things? – A survey</t>
  </si>
  <si>
    <t>https://www.sciencedirect.com/science/article/pii/S1389128623000798</t>
  </si>
  <si>
    <t>In the era of the Internet of Things (IoT), massive computing devices surrounding us operate and interact with each other to provide several significant services in industries, medical as well as in daily life activities at home, office, education sectors, and so on. The participating devices in an IoT network usually have resource constraints and the devices are prone to different cyber attacks, leading to the loopholes in the security and authentication. As a revolutionized and innovated technology, blockchain, that is applied in cryptocurrency, market prediction, etc., uses a distributed ledger that records transactions securely and efficiently. To utilize the great potential of blockchain, both industries and academia have paid a significant attention to integrate it with the IoT, as reported by several existing literature. On the other hand, Artificial Intelligence (AI) is able to embed intelligence in a system, and thus the AI can be integrated with IoT devices in order to automatically cope with different environments according to the demands. Furthermore, both blockchain and AI can be integrated with the IoT to design an automated secure and robust IoT model, as mentioned by numerous existing works. In this survey, we present a discussion on the IoT, blockchain, and AI, along with the descriptions of several research works that apply blockchain and AI in the IoT. In this direction, we point out strengths and limitations of the related existing researches. We also discuss different open challenges to exploit the full capacities of blockchain and AI in designing an IoT-based model. Therefore, the highlighted challenging issues can open the door for the development of future IoT models which will be intelligent and secure based on the integration of blockchain and AI with the IoT.</t>
  </si>
  <si>
    <t>Internet of things; Blockchain; Artificial intelligence</t>
  </si>
  <si>
    <t>Survey</t>
  </si>
  <si>
    <t>Ariffin M.F.M.; Hamid M.F.A.</t>
  </si>
  <si>
    <t>Negotiating Halal Crimes: The Use Of Block-Chain Technology</t>
  </si>
  <si>
    <t>https://www.scopus.com/inward/record.uri?eid=2-s2.0-85114418195&amp;partnerID=40&amp;md5=2a7ff7dcf4aa9c4c66ec2d6dfb550f8e</t>
  </si>
  <si>
    <t>For Muslim societies, the issues of halal and non-halal products are of very sensitive nature. Unfortunately, there has been a worrying increase in halal crimes in recent years and there appears to be no end in sight to this issue. For this reason, the application of block-chain technology may be useful for dealing with this issue in Malaysia. The objective of this research is to examine the practicality of leveraging block-chain technology to prevent halal crimes. A systematic review on relevant research publication on this issue was conducted and results from the review indicate that there is a huge potential in leveraging block-chain technology to benefit the halal industry as well as preventing halal crimes at grass root level. © 2021, Global Journal Al-Thaqafah. All rights reserved.</t>
  </si>
  <si>
    <t>Blockchain; Data Networking; Digital Revolution; Halal Supply Chain; Technology</t>
  </si>
  <si>
    <t>Systematic review on relevant research</t>
  </si>
  <si>
    <t>Katuk N.</t>
  </si>
  <si>
    <t>The application of blockchain for halal product assurance: a systematic review of the current developments and future directions</t>
  </si>
  <si>
    <t>https://www.scopus.com/inward/record.uri?eid=2-s2.0-85076470313&amp;doi=10.30534%2fijatcse%2f2019%2f13852019&amp;partnerID=40&amp;md5=c983a86d5d03c21246b6766031f26641</t>
  </si>
  <si>
    <t>The demand for halal product assurance has increased recently at the global level due to the increase in users’ awareness as well as the Muslim population. Consequently, the demand for halal certification service by the product manufacturers is also increased. However, the conventional halal certification model is unable to support the increasing demand for certification services in which it does not support the halal industry efficiently that makes the certification process costly. Technological support, particularly blockchain, can facilitate and simplify the halal certification process, which leads to an automated and more efficient process. Blockchain for halal product assurance is considered a new multidisciplinary field; hence, there is a need to gather and synthesize the current information about the field of study in a thorough and unbiased manner so that a more general conclusion can be drawn as well as providing preliminary information to encourage further research in the field. Therefore, a systematic review was conducted to identify, evaluate, and interpret research and developments relevant to the implementation of blockchain technology for halal product assurance. The result is expected to cultivate new studies that can improve the entire process for halal product assurance. © 2019, World Academy of Research in Science and Engineering. All rights reserved.</t>
  </si>
  <si>
    <t>Block-chain; Decentralized networks; Distributed computer systems; Peer-to-peer networks</t>
  </si>
  <si>
    <t>Harsanto B.; Farras J.I.; Firmansyah E.A.; Pradana M.; Apriliadi A.</t>
  </si>
  <si>
    <t>Digital Technology 4.0 on Halal Supply Chain: A Systematic Review</t>
  </si>
  <si>
    <t>https://www.scopus.com/inward/record.uri?eid=2-s2.0-85188936994&amp;doi=10.3390%2flogistics8010021&amp;partnerID=40&amp;md5=92b8d73d89bcfcfd1919ed964600880d</t>
  </si>
  <si>
    <t>Background: The halal supply chain is a focused type of supply chain that ensures halal products throughout the entire process, from upstream to downstream. This paper aims to identify the innovative digital technology 4.0 utilized within the halal supply chain and understand its impact on firm performance, both financial and non-financial. Methods: A systematic review methodology was employed on the academic database of Scopus, resulting in 70 articles. We analyze the included articles with two main aspects that are of concern in this research, namely what technology is used in certain parts of the supply chain (procurement, manufacturing, distribution, and/or logistics), as well as the impact on firm performance (financial and/or non-financial); Results: Our findings reveal that the technologies widely used include blockchain technology, halal financial technology, and halal traceability system (RFID, IoT). Conclusions: Innovative digital technology has been implemented in the halal supply chain and has affected the firm’s performance both financially and non-financially. Future research is suggested to focus on investigations regarding holistic technology integration, quantitative analysis to measure the specific financial performance of firms adopting digital technologies, and the feasibility and importance of technology adoption for Small and Medium Enterprises (SMEs) in the halal industry. © 2024 by the authors.</t>
  </si>
  <si>
    <t>halal industry; halal logistics; halal production; halal supply chain; halal supply chain management; halal value chain; HSCM; innovative digital technology 4.0; systematic review; technology</t>
  </si>
  <si>
    <t>B. Waspodo; N. A. Rakhmawati</t>
  </si>
  <si>
    <t>Halal Blockchain Digital Strategy using Peppard And Ward Strategic Formulation Approach</t>
  </si>
  <si>
    <t>https://ieeexplore.ieee.org/stamp/stamp.jsp?arnumber=9589025</t>
  </si>
  <si>
    <t>Digital technology usages are becoming more important in today's business environment, including at sharia business environment. It concludes ability to adapt for change that imperishable to anyone. Therefore, for the same arguments, there are not enough research findings and discussion regarding on how to leverage Blockchain ecosystems (especially for sharia business environments) incorporate with Digital Strategy Plan formulation. This is a question that the researcher wants to explore using a systemic literature review technique and specific case studies from sharia business applications and environments. The result of this will attempt to propose the convergent of digital strategy plan formulation and halal blockchain ecosystems concepts.</t>
  </si>
  <si>
    <t>digital strategy;halal blockchain;strategic formulation approach</t>
  </si>
  <si>
    <t>Agung A.A.G.; Yuniar I.; Hendriyanto R.</t>
  </si>
  <si>
    <t>Smart Contract and IPFS Decentralized Storage for Halal Certification Process</t>
  </si>
  <si>
    <t>https://www.scopus.com/inward/record.uri?eid=2-s2.0-85189635590&amp;doi=10.62527%2fjoiv.8.1.1497&amp;partnerID=40&amp;md5=9c431f02dfcbca04df25de89d001167f</t>
  </si>
  <si>
    <t>The halal industry today has achieved rapid development. Halal product is mandatory for Muslims and a big business for Indonesia. For others, it affirms the product's quality assurance and becomes a trending lifestyle. The product owner must submit an application and undergo several processes to obtain a halal certificate. However, there are challenges in the certification process and documentation. The proposed system automates the flow between certification processes through digital signing and stores the certificate and fatwa file. The study investigates the utilization of blockchain to manage the process and the integration of decentralized storage (IPFS) to store the digital version of the fatwa and certificate. A smart contract is designed and deployed on the Ethereum blockchain, and the transaction time and cost are analyzed. A smart contract enforces that certain actions are executed once the required conditions are fulfilled. The proposed system would cost 24.6 USD and require 227 seconds on average for the system setup. Each submission requires 9.86 USD and takes 92 seconds on average. Verification is free, and the average result can be obtained in one second. The appointed officer sets each entity to interact with the contract, and the digital documents (fatwa and certificate) are available online using IPFS. Progress of the certification is transparent to the public, increasing the public's trust. The study demonstrates a smart contract's capability to manage a product's certification process. © 2024, Politeknik Negeri Padang. All rights reserved.</t>
  </si>
  <si>
    <t>certification process; Halal product; IPFS; smart contract</t>
  </si>
  <si>
    <t>Nashirudin M.; Ramadhan; Ulfah A.K.</t>
  </si>
  <si>
    <t>Strengthening Maqāṣid al-Sharī’ah Values in Halal Traceability: Evidence and Analysis of Block Chain Based on Halal Supply Chain Applications</t>
  </si>
  <si>
    <t>https://www.scopus.com/inward/record.uri?eid=2-s2.0-85197256268&amp;doi=10.24090%2fmnh.v18i1.9883&amp;partnerID=40&amp;md5=3e6b83c4681a1aafd936af54adea2fe0</t>
  </si>
  <si>
    <t>Halal traceability is one of the government’s focus in developing the halal industry. By adopting a blockchain system, halal traceability is undoubtedly transparent. However, this transparency also needs to be analyzed using maqāṣid al-sharī’ah. This analysis is used to analyze the extent of the application of maqāṣid al-sharī’ah values in halal traceability. The results of the study state that the application of halal traceability has fulfilled the elements of maqāṣid al-sharī’ah, such as transparency, accountability, responsibility, and justice. Therefore, the blockchain-based halal traceability application model is appropriate and relevant to Islamic values. © 2024, Universitas Islam Negeri Profesor Kiai Haji Saifuddin Zuhri Purwokerto. All rights reserved.</t>
  </si>
  <si>
    <t>Blockchain; Halal Supply Chain; Halal Traceability; Maqāṣid al-Sharī’ah</t>
  </si>
  <si>
    <t>Abdulla Alourani, Shahnawaz Khan</t>
  </si>
  <si>
    <t>A Blockchain and Artificial Intelligence based System for Halal Food Traceability</t>
  </si>
  <si>
    <t>https://arxiv.org/abs/2410.07305</t>
  </si>
  <si>
    <t>The demand of the halal food products is increasing rapidly around the world. The consumption of halal food product is just not among the Muslims but also among non-Muslims, due to the purity of the halal food products. However, there are several challenges that are faced by the halal food consumers. The challenges raise a doubt among the halal food consumers about the authenticity of the product being halal. Therefore, a solution that can address these issues and can establish trust between consumers and producers. Blockchain technology can provide a distributed ledger of an immutable record of the information. Artificial intelligence supports developing a solution for pattern identification. The proposed research utilizes blockchain an artificial intelligence-based system for developing a system that ensure the authenticity of the halal food products by providing the traceability related to all the operations and processes of the supply chain and sourcing the raw material. The proposed system has been tested with a local supermarket. The results and tests of the developed solution seemed effective and the testers expressed interest in real-world implementation of the proposed system.</t>
  </si>
  <si>
    <t>Agung A.A.G.; Nugroho H.; Hendriyanto R.</t>
  </si>
  <si>
    <t>A Blockchain-based Halal Certificate Recording and Verification Prototype</t>
  </si>
  <si>
    <t>https://www.scopus.com/inward/record.uri?eid=2-s2.0-85133655195&amp;doi=10.30630%2fjoiv.6.2.995&amp;partnerID=40&amp;md5=c627a07b1e7ceea5f07ae2f919c51a3e</t>
  </si>
  <si>
    <t>Halal certification assures that a product or a service has been created, processed, and delivered according to Islamic laws. Currently, the certificate is printed on a security paper and includes a QR code that can be used to verify the certificate online. However, there are some problems with the ongoing certificate verification process. The verification site is centralized, creating a single point of failure. The current verification system is also unable to detect the modified printed certificate. The research aims to propose an alternative halal certificate recording and verification system. A smart contract that runs on the Ethereum blockchain is developed and deployed for that purpose. As a result, the average certificate creation cost is US$20.035, and the process requires 5.75 seconds, while verification is free, and the result can be obtained in about one second. Utilizing the blockchain to store and verify the halal certificate increases trust in the product or service since once the data is stored, it cannot be changed and accessible to the public. Nodes around the world replicate the blockchain to ensure service availability. For future consideration, the system can be extended to automate and track the halal application process and integrated as an alternative to the current system by implementing multiple signatures in the smart contract for each party. Furthermore, the system can be integrated with a peer-to-peer sharing system such as IPFS to store the digital certificate. © 2022, Politeknik Negeri Padang. All rights reserved.</t>
  </si>
  <si>
    <t>Ethereum; halal certificate; smart contract</t>
  </si>
  <si>
    <t>Zainab Senan Attarbashi</t>
  </si>
  <si>
    <t>A COLLABORATIVE HALAL SUPPLY CHAIN MODEL TO ADDRESS SAFETY AND TRANSPARENCY BASED ON BLOCKCHAIN TECHNOLOGY</t>
  </si>
  <si>
    <t>https://journals.alqasimia.ac.ae/index.php/ie/article/view/373</t>
  </si>
  <si>
    <t>Muslim spending on halal food is growing at 6.3%, projected to reach $2  trillion  by  2024,  raising  concerns  about  the  authenticity  of  halalclaims  due  to  the  inability  to  trace  products  throughout  the  supply  
 chain.  This  research  has  two  primary  objectives:  first,  to  develop  a  decentralized model for halal tracking using blockchain technology, and    second,    to    assess    Customers'    awareness    of    blockchain    applications   in   the   halal   industry.   The   proposed   system   uses   blockchain's  decentralized  and  immutable  nature  to  record  data  transparently  and  securely,  covering  halal  product  origin,  quality,  handling,    and    processing.    This    will    enhance    supply    chain    transparency,  improve  record-keeping  efficiency,  strengthen  food  safety and quality assurance, and build consumer trust through end-to-end  traceability.  The  development  process  involves  smart  contracts,  cryptographic  techniques,  and  data  analytics,  implemented  using  Ethereum   2.0   and   Web3.js.   Testing   of   the   prototype   system   demonstrated   strong   scalability,   handling   high   loads   without   compromising    efficiency,    and    adhered    closely    to    predefined    guidelines, enhancing trust in the system’s reliability.</t>
  </si>
  <si>
    <t>Halal   Food   Supply   Chain,   Blockchain   Technology,   Supply Chain Integrity, Consumer Trust.</t>
  </si>
  <si>
    <t>Wahab R.A.; Mohamad U.H.; Ahmad M.N.</t>
  </si>
  <si>
    <t>A Dual Approach to Halal Meat Traceability through QR Codes and Blockchain</t>
  </si>
  <si>
    <t>https://www.scopus.com/inward/record.uri?eid=2-s2.0-105005193320&amp;doi=10.18517%2fijaseit.15.2.20509&amp;partnerID=40&amp;md5=872bfd551c259daf3e3a0ba92a0b77c9</t>
  </si>
  <si>
    <t>Existing traceability systems in the halal meat supply chain are acknowledged as having significant shortcomings, leading to decreased consumer confidence and halal standard violations. In response to these challenges, this paper proposed an integrated approach using QR codes and blockchain to improve traceability, especially in the halal meat supply chain ecosystem. This research contributes to developing a schematic diagram that illustrates the interaction of QR codes with the inclusion of a ledger system on a blockchain level from farm to consumer. This provides a step-by-step representation of how these technologies interact across the supply chain. The QR code allows easy access to product information, and blockchain establishes widespread trust in the data through an immutable ledger. Despite its practicality and promising concept, a narrative review of the 22 selected studies showed that the proposed ecosystem has a positive potential for enhancing transparency, restoring consumers' trust, and improving the compliance rate. Moreover, the results highlighted the system's ability to minimize traceability fraud and simplify halal certification procedures. However, the study also highlighted several challenges, including the implementation costs, the absence of standardized data systems, and the requirements of sufficient infrastructure and qualified human resources. This study contributes to the body of knowledge by identifying the key challenges to establishing successful halal meat traceability, highlighting the focus of potential future work on scalability, interoperability, and supply chain optimization. © IJASEIT is licensed under a Creative Commons Attribution-Share Alike 4.0 International License.</t>
  </si>
  <si>
    <t>Consumer trust; data integrity; digital authentication; food fraud prevention; supply chain transparency</t>
  </si>
  <si>
    <t>Ali M.H.; Chung L.; Kumar A.; Zailani S.; Tan K.H.</t>
  </si>
  <si>
    <t>A sustainable Blockchain framework for the halal food supply chain: Lessons from Malaysia</t>
  </si>
  <si>
    <t>https://www.scopus.com/inward/record.uri?eid=2-s2.0-85106619048&amp;doi=10.1016%2fj.techfore.2021.120870&amp;partnerID=40&amp;md5=ee4bb425c67f580b76c9df9adfbc2269</t>
  </si>
  <si>
    <t>This study proposes a sustainable blockchain framework for the halal food supply chain. As is widely acknowledged, blockchain could enhance supply chain integrity, but its impacts on the halal food supply chain are unknown. Disruptive technologies for Industry 4.0 can improve transparency, which is desperately needed in the food supply chain; however, various challenges are also incurred. Based on five in-depth halal food supply chain case studies, this paper reveals a practical framework for overcoming the challenges faced by the halal food supply chain pertaining to blockchain implementation. The framework comprises five key challenges that are vital to small and medium enterprises in halal food supply chain blockchain implementation. The findings also indicate that the halal food supply chain can gain a congruent and fresh perspective in inducing or superseding blockchain technology. In addition, the roles of supply chain integration and food regulations as the key enablers on the success of blockchain technology in the halal food supply chain are also discussed in this study. Additionally, the limitations and future research directions are also discussed. © 2021</t>
  </si>
  <si>
    <t>Blockchain technology; Food supply chain; Halal; SMEs</t>
  </si>
  <si>
    <t>Hendayani R.; Fernando Y.</t>
  </si>
  <si>
    <t>Adoption of blockchain technology to improve Halal supply chain performance and competitiveness</t>
  </si>
  <si>
    <t>https://www.scopus.com/inward/record.uri?eid=2-s2.0-85137533405&amp;doi=10.1108%2fJIMA-02-2022-0050&amp;partnerID=40&amp;md5=e208dde986b744ab44b28200f81f12c3</t>
  </si>
  <si>
    <t>Purpose: This study aims to investigate the relationship between blockchain technology adoption and firm competitiveness through Halal supply chain performance as a mediating variable. Design/methodology/approach: This paper has used the explanatory approach and multivariate data analysis using partial least squares with structural equation modelling. The data were collected from 178 Indonesian manufacturing firms producing Halal-certified foods and beverages. Findings: The findings reveal that adopting blockchain technology positively and significantly affects Halal supply chain performance and firm competitiveness. The total indirect effect shows that the availability of blockchain technology indirectly affects the firm’s competitiveness through Halal supply chain performance. Originality/value: This study has provided a novel theoretical framework showing that adopting blockchain technology can improve the Halal supply chain performance and the firm’s competitiveness. The transparency and integrity features of blockchain technology have strengthened the consumers’ confidence in the reliability of the Halal-certified food and beverage products. © 2022, Emerald Publishing Limited.</t>
  </si>
  <si>
    <t>Blockchain technology; Firm competitiveness; Halal food; Halal supply chain performance; Manufacturing</t>
  </si>
  <si>
    <t>Pengfei Li, Jingjie Yang, Ana M. Jiménez-Carvelo, Sara W. Erasmus</t>
  </si>
  <si>
    <t>Applications of food packaging quick response codes in information transmission toward food supply chain integrity</t>
  </si>
  <si>
    <t>https://www.sciencedirect.com/science/article/pii/S0924224424000608</t>
  </si>
  <si>
    <t>Background
Manufacturers and consumers are increasingly aware that asymmetric information can lead to potential risks in food safety and supply chain integrity. The traditional paper labels, due to their limited size, are no longer able to realize the transmission of a large amount of information. Quick Response (QR) code, as one of the most versatile and commercially successful digital technologies, provides a feasible approach to connecting physical food with its relevant digital information, and its potential in information transmission has been gradually discovered and exploited in recent years – attracting increasing attention.
Scope and approach
In this review, a brief overview of the QR code configuration and technical principle of information transmission is provided, along with comparisons to other digital technologies. Moreover, it provides a useful overview of the current applications of QR codes developed and practiced in information transmission. On this basis, the limitations and development direction for improving its properties are discussed.
Key findings and conclusions
Food packaging QR codes are suitable for information transmission due to their large data storage and quick information access. QR codes have good performance in traceability, quality evaluation, anti-counterfeiting, and marketing. Given its limitations, the flexible combination with other complementary technologies, improving the consumers’ sense of gratification after use, and forcing and encouraging companies to implement are the possible development directions of maximizing QR code utilization in the future within the food supply chain.</t>
  </si>
  <si>
    <t>Authentication; Food label; Food traceability; Quick response code; Information transmission</t>
  </si>
  <si>
    <t>Tan, A; Gligor, D; Ngah, A</t>
  </si>
  <si>
    <t>Applying Blockchain for Halal food traceability</t>
  </si>
  <si>
    <t>There is a growing concern towards full integrity of Halal food and its traceability as supply chains become global. This research identifies the current traceability challenges for the food supply chain in Malaysia to comply with Halal requirements. We position these challenges in the context of institutional theory and agency theory. Our manuscript directly addresses Duan et al.'s (2020) call for studies grounded in actual real-life data to address Blockchain implementation in Halal food chains. As such, we propose a novel traceability framework built on Blockchain derived from real-life Blockchain implementation in three distinct Halal supply chains. The technology with smart contract is proposed with inputs from three Blockchain software providers with the aim to create a conceptual framework that integrates both Halal processes and technologies to improve traceability of Halal food supply chain from farm to fork.</t>
  </si>
  <si>
    <t>Halal requirements; Blockchain; smart contract; QR code; food supply chain; traceability</t>
  </si>
  <si>
    <t>Vanany I.; Soon-Sinclair J.M.; Rahkmawati N.A.</t>
  </si>
  <si>
    <t>Assessment of halal blockchain in the Indonesian food industry</t>
  </si>
  <si>
    <t>https://www.scopus.com/inward/record.uri?eid=2-s2.0-85191724110&amp;doi=10.1108%2fJIMA-05-2022-0122&amp;partnerID=40&amp;md5=5e5a7a5e4f98f3c4b9e91cc931c64b45</t>
  </si>
  <si>
    <t>Purpose: The demand for halal food products is increasing globally. However, fraudulent activities in halal products and certification are also rising. One strategy to ensure halal integrity in the food supply chain is applying halal blockchain technology. However, to date, a few studies have assessed the factors and variables that facilitate or hinder the adoption of this technology. Thus, this study aims to assess the significant factors and variables affecting the adoption of halal blockchain technology. Design/methodology/approach: A Delphi-based approach, using semi-structured interviews, was conducted with three food companies (chicken slaughterhouses, milk processing plants and frozen food companies). The cognitive best–worst method determines the significant factors and variables to prioritise halal blockchain adoption decisions. Findings: The results showed that the most significant factors were coercive pressure and halal strategy. Nineteen variables were identified to establish a valid hierarchical structure for halal blockchain adoption in the Indonesian food industry. The five significant variables assessed through the best–worst method were demand, regulator, supply side, sustainability of the company’s existence and main customers. Practical implications: The proposed halal blockchain decision structure can assist food companies in deciding whether to adopt the technology. Originality/value: This study proposes 19 variables that establish a valid hierarchical structure of halal blockchain adoption for the Indonesian food industry. © 2024, Emerald Publishing Limited.</t>
  </si>
  <si>
    <t>Best–worst method; Food Industry; Halal blockchain adoption</t>
  </si>
  <si>
    <t>Imanto T.; Yazid S.</t>
  </si>
  <si>
    <t>Blockchain Based Halal Food Production Tracking</t>
  </si>
  <si>
    <t>https://www.scopus.com/inward/record.uri?eid=2-s2.0-85124352716&amp;doi=10.1109%2fIWBIS53353.2021.9631868&amp;partnerID=40&amp;md5=33c57c3b2bcd262981111b5ccef9c301</t>
  </si>
  <si>
    <t>Halal food industry has experienced rapid growth in recent years. Halal food is generally more competitive than food without a halal label. Blockchain technology can provide certainty for quality issues and halal predicates of food products. This study discusses in depth the use of blockchain technology in the food industry to explore the halal issue, how it is implemented, and details about how it works. Data recording during the supply chain process is designed using a private blockchain while handling complaints using a permissioned blockchain. The transaction system uses smart contracts which are combined into a blockchain system. The use of blockchain for handling complaints and tracking halal products is worth considering, where the results show that the tracking speed is up to 10 times faster than conventional methods and can minimize losses because the handling of issues can be more targeted.  © 2021 IEEE.</t>
  </si>
  <si>
    <t>blockchain; halal; smart contract; supply chain</t>
  </si>
  <si>
    <t>G. R. Chandra; I. A. Liaqat; B. Sharma</t>
  </si>
  <si>
    <t>Blockchain Redefining: The Halal Food Sector</t>
  </si>
  <si>
    <t>https://ieeexplore.ieee.org/stamp/stamp.jsp?arnumber=8701321</t>
  </si>
  <si>
    <t>This paper aims to address the various challenges of the Halal Food Industry and how far the emerging Distributed Ledger Technology, Blockchain, can play a role in redefining the current system. Blockchain technology allows users to assess all transactions simultaneously and in real-time, enforcing transparency, safety, authenticity, and auditability. Blockchain along with other disruptive technologies, like IoT and AI, will allow stakeholders to retrieve the high-quality information required to make more informed choices. The Islamic teachings followed in preparation of halal food are principles not only followed by Muslims but every person soughing to have hygienic, healthy food. With the rise of the Halal Food sector, organizations must find ways to increase their supply chain efficiency and Blockchain promises to fill that gap with higher transparency and assurance of Halal compliance. A demonstration is provided to have an insight on how the Blockchain technology would shape the Halal Food Supply Chain and an experimental study is also carried out on Hyperledger Fabric Composer - Playground - to analyze how ownership of halal product may be tracked.</t>
  </si>
  <si>
    <t>Blockchain;Halal Food;Halal Certification;Supply Chain;Transparency;Hyperledger Composer</t>
  </si>
  <si>
    <t>Hamid Z.J.B.M.H.; Tan M.I.B.I.</t>
  </si>
  <si>
    <t>Blockchain Technology and Halal Certification: Issues and Development</t>
  </si>
  <si>
    <t>https://www.scopus.com/inward/record.uri?eid=2-s2.0-85176860699&amp;doi=10.4324%2f9781003368519-16&amp;partnerID=40&amp;md5=6a4a6e05b0b7e2cfe833a1cf1758568c</t>
  </si>
  <si>
    <t>Nowadays, halal has become a major concern among millennial consumers. The concept of halal does not only meet the religious obligation but also represents hygiene, sanitation, and the safety aspects. Thereby, Muslim, and non-Muslim consumers have been receptive to halal products and services. In that sense, the application of halal certification gives assurance that the products or services provided are high in quality and safety. Moreover, a study revealed that consumers pay attention to halal logo as it boosts their confidence regarding the quality before they purchase the products. In other words, the halal logo has been approved as the quality benchmark of the products and services. However, there are inherent shortcomings in applying halal certification which are the speed with which halal certification is processed and halal logos are issued, the lack of halal integrity among industry players, and the government’s lack of enforcement on the misuse of halal certificates and halal logos on the premises. These drawbacks can be recovered by adopting the fourth industrial tool which is blockchain technology. Blockchain technology is considered as one strategic initiative as it increases the efficiency and speed of the halal certification process. The systems that are described in this research are Halal Trail, POCertify, WhatsHalal, and TradeLens. From these systems, there is few room for improvements that have been suggested to increase the transparency of the system applied in the halal industry in conjunction with the concept of blockchain technology. © 2024 selection and editorial matter, Nor Aida Abdul Rahman, Kamran Mahroof and Azizul Hassan; individual chapters, the contributors.</t>
  </si>
  <si>
    <t>Mehmood N.; Shah M.; Faisal H.</t>
  </si>
  <si>
    <t>Blockchain Technology and Halal Certification: Issues and Developments</t>
  </si>
  <si>
    <t>https://www.scopus.com/inward/record.uri?eid=2-s2.0-85207556749&amp;doi=10.1007%2f978-981-97-1375-2_1&amp;partnerID=40&amp;md5=cee48154e0b9617291d6aeb02f8d3499</t>
  </si>
  <si>
    <t>Blockchain technology has emerged as a transformative force across various industries, offering unprecedented transparency, security, and efficiency. This chapter explores the application of blockchain in the context of halal certi-fications, addressing the challenges and opportunities associated with the intersec-tion of blockchain and the halal industry. The halal certification process, which ensures products adhere to Islamic dietary laws, is a critical aspect of the global halal market. However, the current system faces issues related to transparency, traceability, and fraud prevention. Blockchain technology presents a promising solution to these challenges by providing an immutable and decentralized ledger that can securely record and verify halal certification information. The chapter delves into the specific issues within the halal certification process, such as fraudulent certifications, lack of real-time verification, and complex supply chain management. It then examines how blockchain technology can address these issues by creating a transparent and tamper-resistant system, enabling consumers and stakeholders to trace the entire halal supply chain from source to end product. Furthermore, the chapter discusses the develop-ment of blockchain-based halal certification platforms, exploring existing initiatives and their impact on enhancing the integrity of halal products. It also analyzes poten-tial challenges in the adoption of blockchain, such as regulatory frameworks and technological barriers, and proposes strategies to overcome these obstacles. © The Editor(s) (if applicable) and The Author(s), under exclusive license to Springer Nature Singapore Pte Ltd. 2024.</t>
  </si>
  <si>
    <t>Blockchain; Halal certifications; Halal industry; Issues and development; Technology adoption; Transparency</t>
  </si>
  <si>
    <t>Hana Catur Wahyuni, Mochamad Alfan Rosid, Rima Azara, Adam Voak</t>
  </si>
  <si>
    <t>Blockchain technology design based on food safety and halal risk analysis in the beef supply chain with FMEA-FTA</t>
  </si>
  <si>
    <t>https://www.sciencedirect.com/science/article/pii/S2307187724000294</t>
  </si>
  <si>
    <t>Beef has an important role in the health of the body. Food safety and halal are the main factors for consumers in purchasing beef. However, in reality, several activities in the beef supply chain result in status changes to be unsafe and not halal for consumption. This occurs due to weak food safety and halal supervision in the beef supply chain system. Therefore, this study proposes the use of blockchain technology to strengthen the food safety and halal supervision system in the beef supply chain. The objectives of this study are (1) to identify food safety and halal risk factors, and (2) to develop a blockchain technology design for mitigating food safety and halal risks in the beef supply chain. This research uses the FMEA method to measure risks and FTA for risk analysis. The results showed that 30 risks were identified in the beef supply chain. The highest risk is the absence of a halal certificate on the product. The 30 risks are grouped into 4 risks that are included in extreme priority risk, 11 risks in high priority risk, 4 risks in moderate risk, and 11 risks as acceptable risk. Based on these results, the role of blockchain technology to minimize risk is in the flow of data, and transactions will be easier to track, more transparent, and safer to use as part of the control and supervision system for food safety and halal standards in the beef supply chain. This research has implications for transparency in the supply chain, the accuracy of product track records, prevention of food poisoning, improving halal compliance, risk management and thus increasing consumer confidence.</t>
  </si>
  <si>
    <t>Halal; Food safety; Beef supply chain; Blockchain technology</t>
  </si>
  <si>
    <t>Alamsyah A.; Hakim N.; Hendayani R.</t>
  </si>
  <si>
    <t>Blockchain-Based Traceability System to Support the Indonesian Halal Supply Chain Ecosystem</t>
  </si>
  <si>
    <t>https://www.scopus.com/inward/record.uri?eid=2-s2.0-85132206623&amp;doi=10.3390%2feconomies10060134&amp;partnerID=40&amp;md5=5b958ec5fcae0244b40b1bc31e8f06e5</t>
  </si>
  <si>
    <t>The halal industry is constantly developing into a broader concept of the Islamic economy, an economic activity that follows the Islamic-based principle. As a populous Muslim country, Indonesia follows the growth trend by aiming to dominate the global halal market. The strategy is to improve the current halal assurance process. Presently, the technology and procedure do not provide enough process transparency, traceability, and granularity of information. To achieve the strategic goal, a technological change is needed. A new emerging technology, blockchain, may potentially answer the challenge. This study’s first objective is to discuss improving the current assurance practice in the Indonesian halal supply chain ecosystem, particularly in the meat industry. The second objective is to construct a traceability system model for the supply chain. Our goal is to propose a blockchain-based halal traceability system model. The model can be enhanced to be a national standard tool to develop the economy towards a sustainable supply chain. © 2022 by the authors. Licensee MDPI, Basel, Switzerland.</t>
  </si>
  <si>
    <t>blockchain; halal supply chain; slaughterhouse; traceability system</t>
  </si>
  <si>
    <t>Abdullah Al Noman1*; Mahin Montasir Afif1; A. M. Rafinul Huq1; A. F. Faizur
Rahman1; Md. Emamul Arefin Islam1</t>
  </si>
  <si>
    <t>Blockchain-Driven Halal Supply Chains: Enhancing
Transparency and Efficiency While Ensuring
Shariah Adherence</t>
  </si>
  <si>
    <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t>
  </si>
  <si>
    <t>Halal-certified products are in high demand globally, but traditional supply chains face challenges like inefficiency,
lack of transparency, and low trust among stakeholders. This study proposes a Shariah-compliant blockchain-based Halal
supply chain management system to address these issues. By using Hyperledger Fabric, the system ensures traceability and
trust through data-smart auditing, creating a decentralized, immutable ledger with a permission blockchain. The system
automates compliance checks via smart contracts and integrates with Shariah boards for certification validation. It also
incorporates QR code-based product authentication and off-chain storage for scalability. Periodic audits maintain system
integrity, and end-to-end monitoring provides full visibility, ensuring Shariah compliance at every stage. This solution offers a
modular, scalable, and transparent approach to Halal supply chains, improving efficiency, privacy, and trust while addressing
the shortcomings of traditional methods.</t>
  </si>
  <si>
    <t>Blockchain, Halal Supply Chain, Shariah Compliance, Smart Contracts, Data Auditing.</t>
  </si>
  <si>
    <t>Dashti, LAHF; Jackson, T; West, A; Jackson, L</t>
  </si>
  <si>
    <t>Building a Halal Food Traceability Model for Kuwaiti Halal Ecosystem from Stakeholders' Perspectives</t>
  </si>
  <si>
    <t>Traceability systems are crucial in halal and agri-food industries due to their tracking and tracing capabilities for halal food integrity. It is difficult to create a traceability system for the halal food supply chain because of differing requirements and complex stakeholders' needs. Gaining a thorough grasp of stakeholders' viewpoints on the creation of a process-based model that can be adopted and implemented for halal food traceability in Kuwait's halal food industry was the main goal of this study. A qualitative research design was adopted to address the aim, involving interviews with 4 halal processor and 5 government officials in the halal food sector. The data were analysed using thematic analysis. The qualitative study found that farm-related processes, supplier-related processes and processors-based processes are critical components to be included in the model of the traceability system along with the application of innovative technologies (e.g., blockchain, internet-of-things). It was also noted that streaming the certification system and collaboration among stakeholders for designing an adoptable and implementable system is needed. Based on these perspectives of the halal food processors and government agencies in Kuwait, a process-based model of halal meat traceability was constructed, using Anylogic software, involving the farmers, suppliers and food processors-based processes which need to be integrated into a potential halal food traceability system. These results add to a larger body of research that aims to create a framework for traceable stakeholder requirements by using business process modelling to create a unified model.</t>
  </si>
  <si>
    <t>Supply chain; traceability system; halal food; stakeholders' requirements</t>
  </si>
  <si>
    <t xml:space="preserve">Aries Susanty, Nia Budi Puspitasari, Zainal Fanani Rosyada, Muhamad Aria Pratama &amp; Edi Kurniawan </t>
  </si>
  <si>
    <t>Design of blockchain-based halal traceability system applications for halal chicken meat-based food supply chain</t>
  </si>
  <si>
    <t>https://link.springer.com/article/10.1007/s41870-023-01650-8</t>
  </si>
  <si>
    <t>This research aims to design the traceability system based on blockchain technology that can track information on the implementation of halal assurance at every stage of the chicken meat-based food production chain, from farmers, slaughterhouses, and distributors, to the food processing industry. This research is a descriptive study in the form of a literature study and a case study on developing a web-halal traceability system, using a sample of the research objects on Semarang's chicken meat-based halal food supply chain. In this research, the stages of designing a web-halal traceability system use the software development life cycle (SDLC) programming method using the Hypertext Preprocessor (PHP) language based on blockchain concepts. The blockchain concepts applied include distributed shared ledgers, smart contracts, permissions, and consensus. The application is presented as a website that can record product transfer information, halal product assurances, and halal certificates between actors in the halal chicken meat-based food supply chain from beginning to end and can be accessed by consumers directly and transparently through scanning product Quick Response (QR) codes. The applications' limitations are currently still manual in implementing the consensus process, not integrated with a map of where the actors in the supply chain were located, not providing a physical appearance or image of the product, and not include the actors whose position was before chicken farmers, such as animal feed producers and their suppliers. Future researchers may include a secure automated validation method, a geographical map of each actor, a product image, and a mapping of the chicken meat-based product supply chain in a broader scope. This research provided a basis for providing policymakers with a concept for enhancing halal integrity and solving the issue of halal assurance in food production. This research also provided for helping the consumer in tracing the halalness of the chicken meat-based product. Understanding the halalness status of the product by the customer could facilitate a more effective driving for enterprises to get the halal certification process. This research contributed to using a blockchain concept to build the web-based traceability system for a halal product with a new object in an empirical case of Chicken Meat-Based Food Supply Chain.</t>
  </si>
  <si>
    <t>Database Management System
Food Security
Islam
Lab-on-a-Chip
Knowledge Based Systems
Blockchain</t>
  </si>
  <si>
    <t>Whisnumurti Adhiwibowo, Widayat Widayat, Wahyul Amien Syafei</t>
  </si>
  <si>
    <t>Design of dual blockchain-based with Point of Authority for halal traceability system application on fresh meat-based supply chain</t>
  </si>
  <si>
    <t>(https://www.sciencedirect.com/science/article/pii/S2590123025012083)</t>
  </si>
  <si>
    <t>This study aims to design a halal fresh meat traceability system based on dual blockchain technology and the Internet of Things (IoT). This system will utilize the Point of Authority (PoA) method to validate information on the implementation of halal assurance in the halal fresh meat food chain based on beef, starting from the slaughterhouse, halal slaughterer, and slaughterhouse supervisor. This system will also provide information on temperature and humidity conditions in the delivery service of halal fresh meat products to consumers in traditional markets. In this study, we developed a software system with the waterfall method for a web-based halal traceability system using the Hypertext Preprocessor (PHP) programming language and the Laravel framework, blockchain using SQLite, and IoT technology using C programming. Consumers can obtain product delivery information, halal fresh product assurance information, and halal guarantor information transparently in the halal fresh meat supply chain by scanning the product's Quick Response Code (QR code). This study offers a basic framework for policymakers to improve the halal integrity of the halal fresh meat supply chain, and the concept of halal assurance in traditional markets. It also allows consumers to monitor the halal status of fresh beef products in conventional markets. This study contributes to the beef-based halal fresh beef supply chain research by developing a traceability system for halal fresh meat using blockchain and IoT.</t>
  </si>
  <si>
    <t>Blockchain; Halal traceability; Halal fresh meat; Internet of Things</t>
  </si>
  <si>
    <t>Surjandari, I; Yusuf, H; Laoh, E; Maulida, R</t>
  </si>
  <si>
    <t>Designing a Permissioned Blockchain Network for the Halal Industry using Hyperledger Fabric with multiple channels and the raft consensus mechanism</t>
  </si>
  <si>
    <t>Halal Supply Chain Management requires an assurance that the entire process of procurement, distribution, handling, and processing materials, spare parts, livestock, work-in-process, or finished inventory to be well documented and performed fit to the Halal and Toyyib. Blockchain technology is one alternative solution that can improve Halal Supply Chain as it can integrate technology for information exchange during the tracking and tracing process in operating and monitoring performance. This technology could improve trust, transparency, and information disclosure between supply chain participants since it could act as a distributed ledger and entitle all transactions to be completely open, yet confidential, immutable, and secured. This study uses a Blockchain Network with three channels and uses raft consensus algorithm in designing web interfaces and testing their capabilities. From the web interface, there were no failures in the validity test during the invoke test and the query test. In addition, the web interface was also successfully tested to thwart the formation of a block in case of data input errors from the user. The server can also do the process as a provider of information and validator for the web interface. From the results of simulations conducted on the Blockchain Network that was made, Blockchain's transaction speed is fast and all the transaction is successfully transferred to other peers. Thus, Permissioned Blockchain is useful for Halal Supply Chain not just because it can secure transactions from some of the halal issues, but the transaction speed and rate to transfer data are very effective.</t>
  </si>
  <si>
    <t>Blockchain; Hyperledger Fabric; Multiple channels; Raft; Halal Supply Chain</t>
  </si>
  <si>
    <t>Desi Novianti 1, Yandra Arkeman 2, Mohammad Nabil Almunawar 3, Liesbetini Haditjaroko 4, Andes
Ismayana</t>
  </si>
  <si>
    <t>Designing a Transparent Distributed Systems for Halal
Supply Chains Using Blockchain Technology</t>
  </si>
  <si>
    <t>https://doi.org/10.36924/sbe.2020.3204</t>
  </si>
  <si>
    <t>Halal food is food in which its halalness status is regulated by a
shariah institution, which is normally designated by the government.
The halal status of food should be traced starting from raw materials,
processing, packaging, transportation and distribution processes to
end consumers. This is to make sure that halal food is free from any
contamination that may change its halal status. The problem is the
difficulty of tracing halal food along the supply chain as the supply
chain information from the upstream to downstream in the food
industry is not transparent. Currently, food tracking systems are a
centralized system, where information about food status is only
available to those who control the information. To improve the
transparency of the food status and to increase trust from customers,
a distributed and transparent system, where many parties can access
the food status any time, is needed. Blockchain technology can be
applied to help track the halalness status of food along its supply
chain. As blockchain is inherently distributed and transparent, hence
a distributed system can be developed by incorporating blockchain
technology for tracking food status. This paper proposes a distributed
system for tracing halal food along its supply chains using blockchain
technology. This system is expected to support transparency,
neutrality.</t>
  </si>
  <si>
    <t>Halal Food
• HFSCM
• Distributed System
• Transparent System
• Blockchain Technology</t>
  </si>
  <si>
    <t>Kusnadi A.; Arkeman Y.; Syamsu K.; Wijaya S.H.</t>
  </si>
  <si>
    <t>Designing Halal Product Traceability System using UML and Integration of Blockchain with ERP</t>
  </si>
  <si>
    <t>https://www.scopus.com/inward/record.uri?eid=2-s2.0-85153353588&amp;doi=10.26594%2fregister.v9i1.3045&amp;partnerID=40&amp;md5=c634afa0a49c89fd42a694a6eabe839e</t>
  </si>
  <si>
    <t>Consuming halal food is mandatory for Muslims, but meeting the growing demand for halal products has been a challenge for Muslim producers. Importing halal products from non-Muslim countries can raise doubts about their halal status. Therefore, a traceability system is needed to ensure the halalness of products. This research proposes a new traceability system by utilizing ERP, Blockchain, and smart contract technologies based on HAS 23000. This study is the first to combine these technologies. Using the System Development Life Cycle (SDLC) method, the design diagram has been successfully developed into an application system prototype. The use of ERP can help companies reduce operational costs, while the combination with blockchain technology ensures more transparent information, data protection, and system security. The system also uses smart contracts to make automated decisions. By managing the procurement of halal products, companies can ensure that products with halal assurance reach consumers. © 2023, the author(s).</t>
  </si>
  <si>
    <t>Blockchain; ERP; Halal Food; Smart Contract; Traceability</t>
  </si>
  <si>
    <t>Raimi L.</t>
  </si>
  <si>
    <t>Development of Shari’ah Framework for Halal Policy and Standards for Integrating Blue Economy for Halal Industry Sustainability</t>
  </si>
  <si>
    <t>https://www.scopus.com/inward/record.uri?eid=2-s2.0-105005039580&amp;doi=10.1007%2f978-981-96-1729-6_9&amp;partnerID=40&amp;md5=0b1f8738f97d2a19d4b94531119a774a</t>
  </si>
  <si>
    <t>This chapter explores the development of a Shari’ah-compliant framework for integrating blue economy principles into Halal policies and standards to promote sustainability within the Halal industry. Using a narrative review method, the study synthesizes literature from various disciplines including Islamic jurisprudence, economic sustainability and environmental management. The review highlights the applicability of Maqasid al-Shari’ah in promoting ethical consumption, environmental protection and social justice in the Halal sector. The insightful findings that emerged show that halal supply chain management and blockchain technology improve transparency, sustainability and Shari’ah compliance. Furthermore, integrating blue economy principles into the halal sustainability industry presents both challenges and opportunities for sustainable development in halal industries such as seafood and tourism. The chapter affirms that the adoption of Shari’ah-compliant corporate governance frameworks can improve ethical business operations and the global competitiveness of the industry. By promoting a holistic approach that balances religious commitments with sustainability goals, the chapter concludes that the halal industry can achieve long-term environmental and social sustainability while adhering to Islamic teachings. © The Author(s), under exclusive license to Springer Nature Singapore Pte Ltd. 2025.</t>
  </si>
  <si>
    <t>Blue economy; Halal industry; Halal policy; Shari’ah framework; Standards; Sustainability</t>
  </si>
  <si>
    <t>Adhiwibowo W.; Widayat W.; Syafei W.A.</t>
  </si>
  <si>
    <t>Dual Blockchain Framework for Halal Food Safety and Tracebility Concern With Internet of Things</t>
  </si>
  <si>
    <t>https://www.scopus.com/inward/record.uri?eid=2-s2.0-85191353072&amp;doi=10.1109%2fICTECA60133.2023.10490466&amp;partnerID=40&amp;md5=a06fc170ba87b533d0f542311ac22c8a</t>
  </si>
  <si>
    <t>The need for animal products requires supervision and protection of national needs, especially for Muslims in Indonesia, who make up the majority of the population. Livestock products are a serious concern for countries where the majority of the population is Muslim because they prioritize the consumption of quality and halal food products. At the same time, the challenges faced include a series of product fraud incidents, accidental contamination, and the presence of residues in products. This can result in a loss of market share, reduced service levels, customer satisfaction, and a loss of reputation for local livestock meat products. In the context of the broader food trade system, the tasks associated with food delivery and supply chain reform in response to food safety issues are characterized by high costs, significant time requirements, and considerable complexity. Tracing of farmed meat products is required to collect, store, and transmit comprehensive records of livestock products throughout the Halal Food Supply Chain. The designed blockchain framework can be used to understand the processes in the Halal meat product supply chain. A block chain framework is a method for collecting data from multiple nodes, storing it in smart contracts, and managing it. This article explains the blockchain framework for distributing halal meat from slaughterhouses to consumers through traditional markets to meet the needs of the Indonesian Muslim community.  © 2023 IEEE.</t>
  </si>
  <si>
    <t>Dual Blockchain; Halal Food; IoT; Slaughterhouses</t>
  </si>
  <si>
    <t>Wahyuni H.C.; Untari R.S.; Azzara R.; Kurnianingtyas D.; Tieman M.</t>
  </si>
  <si>
    <t>FMEA for Blockchain Design for Food Safety and Halal Risk Mitigation in Meat Supply Chain</t>
  </si>
  <si>
    <t>https://www.scopus.com/inward/record.uri?eid=2-s2.0-85216462216&amp;doi=10.22068%2fijiepr.35.4.2148&amp;partnerID=40&amp;md5=f1837a1a867b46714b39f50d8a68e180</t>
  </si>
  <si>
    <t>This research discusses the application of the Failure Mode and Effect Analysis (FMEA) method in designing a blockchain system for mitigating food safety and halal risks in the beef supply chain. The complexity of the meat supply chain involving various parties increasing the risk of contamination and changes in the halal status of the meat. This research aims to identify food safety and halal risks, prioritise the risks, and design blockchain-based mitigation solutions. Blockchain was chosen for its advantages in providing high transparency and accountability, enabling real-time tracking at every stage of the supply chain. The research results show that most of the risks in the meat supply chain fall into the low category, but there are some critical medium risks, especially related to the slaughtering process. The proposed blockchain design includes product traceability features, halal certification, temperature monitoring, and smart contracts to ensure automatic validation of food safety and halal compliance. The implementation of this blockchain is expected to increase consumer trust in meat products, reduce the risk of contamination, and strengthen accountability throughout the meat supply chain. © Iran University of Science and Technology 2024.</t>
  </si>
  <si>
    <t>Blockchain; FMEA; Food safety; Halal; Meat supply chains</t>
  </si>
  <si>
    <t>Soesanto D.; Liliana; Prijambodo B.</t>
  </si>
  <si>
    <t>Food Fraud Prevention using a Blockchain-Based System: Case Study Slaughterhouse in Sidoarjo</t>
  </si>
  <si>
    <t>https://www.scopus.com/inward/record.uri?eid=2-s2.0-105003064751&amp;doi=10.29207%2fresti.v6i2.3937&amp;partnerID=40&amp;md5=14b3dd852cdb7c4b70bbca86c8dc146d</t>
  </si>
  <si>
    <t>In the supply chain of foodstuffs derived from livestock, data consistency and security are the most important thing to pay attention to. However, the length of the existing supply chain and the lack of facilities to store and maintain the correctness of livestock data are problems in ensuring the security of the data. The use of blockchain in livestock has existed in Indonesia, but its scope is only to agriculture or only a small part of the livestock supply chain. Therefore, this research was conducted to develop the application of a blockchain-based livestock supply chain system in Indonesia. This research begins with conducting a literature study, analyzing the slaughterhouses. Then the development of a blockchain system for the food supply chain was carried out. System validation was carried out through interviews with the head of the slaughterhouses, breeders, and wholesalers. The results state that the system helps in ensuring the security of food supply chain data from livestock. However, the problem that has not been resolved is the validation process of data on the weight loss of foodstuffs in the course of the supply chain process. In the future, this technique is expected to be used for halal certification. © 2022, Ikatan Ahli Informatika Indonesia. All rights reserved.</t>
  </si>
  <si>
    <t>blockchain; food fraud; livestock; supply chain; trust</t>
  </si>
  <si>
    <t>Munawar; Mugiono A.</t>
  </si>
  <si>
    <t>Framework for smart contract blockchain in halal traceability, integrity, and transparency</t>
  </si>
  <si>
    <t>https://www.scopus.com/inward/record.uri?eid=2-s2.0-85190993306&amp;doi=10.11591%2fijece.v14i3.pp2875-2884&amp;partnerID=40&amp;md5=7917d965ece21bf0dea8f1cd823bda5f</t>
  </si>
  <si>
    <t>Currently, the halal status of a product may only be determined by the halal certificate or halal label displayed on the product packaging. Simply put, several halal-related issues, like cross-contamination, logistical issues, halal counterfeiting, global halal acceptance, and so forth, keep coming up. To address the numerous issues raised above, it is believed that a framework that can support worldwide halal provisions is necessary. The objective of this research is to create a blockchain smart contract framework for halal transparency, integrity, and traceability. Blockchain technology along with smart contracts can solve classic tracing problems including data leakage, manipulation, and invisible data. Organizational consistency across the halal production process and the availability of raw materials that adhere to sharia laws are two more basic challenges with halal certification that blockchain and smart contracts can resolve. The usual traceability problems, such as data explosion, material cross-contamination between halal and haram, and revelation of private information, can all be resolved by smart contracts that make use of on-chain, off-chain, and electronic product code information services (EPCIS). © 2024 Institute of Advanced Engineering and Science. All rights reserved.</t>
  </si>
  <si>
    <t>Electronic product code; Halal; information services; Off-chain; On-chain; Smart contract; Traceability</t>
  </si>
  <si>
    <t>Akbar A.; Rakhmawati N.A.; Vanany I.</t>
  </si>
  <si>
    <t>Halal Blockchain Application for a Chicken Slaughtering Factory</t>
  </si>
  <si>
    <t>https://www.scopus.com/inward/record.uri?eid=2-s2.0-85132994530&amp;doi=10.18461%2fijfsd.v13i3.C6&amp;partnerID=40&amp;md5=6f9039b23514559b6f84127bf8703c79</t>
  </si>
  <si>
    <t>The vast majority of traded products in Indonesia must be halal certified. This means that Indonesian consumers rely heavily on certificates issued by the Indonesian halal authority. Halal certification validates individual products and after four years, a certificate expires and must be renewed. One of the requirements in the certification process is that all the ingredients of the product must be halal. For this reason, we attempted to enhance the information on halal products, production, processes and delivery processes, using blockchain to address the validity issue. This paper proposes a blockchain-based system to support traceability in the chicken slaughterhouse industry. The design was tested using a black-box approach with 46 test cases that were based on a general scenario in a chicken slaughterhouse factory. The test result showed that all test cases produced the desired output. Hence, the proposed system fulfills the goal of enhancing the traceability of halal products. Ultimately, the buyers of halal chicken products will be assured that the chicken slaughterhouse followed the halal assurance system in its halal-critical processes. © 2022. International Journal on Food System Dynamics.All Rights Reserved</t>
  </si>
  <si>
    <t>Blockchain; Halal food; Supply chain; Trace system</t>
  </si>
  <si>
    <t>Abbas M.; Al-Aama A.Y.</t>
  </si>
  <si>
    <t>Halal Food Verification Using Blockchain Technology: A Proposed Framework for Saudi Arabia</t>
  </si>
  <si>
    <t>https://www.scopus.com/inward/record.uri?eid=2-s2.0-85218096765&amp;doi=10.1109%2fBCCA62388.2024.10844434&amp;partnerID=40&amp;md5=787f8215c6c8bdb04890568f11e7fdb6</t>
  </si>
  <si>
    <t>The process of verifying whether foods meet Halal standards according to Islamic Sharia law has strained many Islamic countries. This is especially important due to an increased variety of processed and imported foods. This research proposes a Halal Food Verification Framework for importing food to the Saudi food market. The framework uses blockchain technology to trace food imported to Saudi Arabia from its origin and to detect whether it is Halal. It can be used by authorities to enhance the integrity of Halal verification. The paper represents the results of testing a prototype developed using the framework and comparing its functionality and effectiveness to the currently used traditional verification method. The results show that blockchain in Halal food tracking is more effective when compared to traditional methods, as it increases the integrity and availability of Halal Authentication. If used effectively by the different stakeholders, it provides faster, safer, and more accurate results, as it decreases the time needed from days to seconds for the consumer to check authenticity, and is fraudulent-safe and tamper-proof, resulting in higher stakeholder trust. © 2024 IEEE.</t>
  </si>
  <si>
    <t>Blockchain; Food authentication; Food safety; Food supply chain; Food technology; Food verification; Halal food; Traceability</t>
  </si>
  <si>
    <t>Abderahman Rejeb</t>
  </si>
  <si>
    <t>Halal Meat Supply Chain Traceability based on HACCP, Blockchain and Internet of Things</t>
  </si>
  <si>
    <t>https://acta.sze.hu/index.php/acta/article/view/467</t>
  </si>
  <si>
    <t>Recently, Halal food has drawn remarkable attention of many consumers around the world. Besides to being unsafe, Halal food such as meat can encounter several issues throughout its supply chain and logistics. At any time, Halal integrity is not guaranteed and risks of becoming non-Halal is the major concern of all parties along the supply chain. To respond to Muslim consumers’ trust concerns in Halal food, many traceability systems were proposed in previous studies based on emerging technologies and  recommended to be incorporated into Halal food supply chains. Nevertheless, all of these systems are centralized, opaque and not enough transparent. To mitigate these problems, blockchain technology is introduced as a ground-breaking innovation with greater decentralization, visibility and transparency. This paper makes a major contribution in suggesting Halal meat supply chain traceability system for real-time food tracing based on embedding Islamic dietary law into HACCP, blockchain and Internet of Things.</t>
  </si>
  <si>
    <t>Halal Meat Supply Chain, HACCP, Blockchain, Internet of Things, Traceability</t>
  </si>
  <si>
    <t>Kadeer Zulihuma  , Abdul Samad Bin Shibghatullah</t>
  </si>
  <si>
    <t>Halal Supply Chain Management Using Blockchain Technology</t>
  </si>
  <si>
    <t>https://www.jstage.jst.go.jp/article/jaalr/3/2/3_9/_article/-char/ja/</t>
  </si>
  <si>
    <t>A halal supply chain consists of a supply network where special attention is paid to products to ensure halal integrity. Given the growing demand for halal products from both Muslims and non-Muslims worldwide, it is important to ensure product quality through an integrated supply chain. Integrity means honesty and constant monitoring and strong ethical principles and values. Maintaining the integrity of the halal supply chain is important, all aspects of halal food integrity must be carefully protected and all actors in the supply chain must take all necessary measures to avoid cross-contamination causing product damage. convert to non-halal. In addition, food safety is part of the halal integrity and traceability process, which produces traceable information from the source of the product to the store. In this way, the unit can track and trace food, such as food ingredients and expiration date, date of preparation, packaging during production, and record during the process, including when, where and how. To achieve better traceability, it is necessary to move and digitize the traditional supply chain, which can be done with blockchain technology in halal supply chain management (SCM). Three smart contract features, including traceability, decentralization and anonymity, are added to the model as moderators to investigate their impact on the integrity of the halal supply chain.</t>
  </si>
  <si>
    <t>Blockchain technology
Halal supply chain
Supply chain integrity</t>
  </si>
  <si>
    <t>Vikaliana R.; Iskandar Y.A.; Ikhwanissa R.</t>
  </si>
  <si>
    <t>Halal Supply Chain Performance Measurement Model Involving Traceability Aspects: A Study in A Chicken Slaughterhouse</t>
  </si>
  <si>
    <t>https://www.scopus.com/inward/record.uri?eid=2-s2.0-85197221126&amp;doi=10.1088%2f1755-1315%2f1358%2f1%2f012030&amp;partnerID=40&amp;md5=b02b8c3e3ad8e4b8a45d2c8dc38abef8</t>
  </si>
  <si>
    <t>The food and beverage industry in Indonesia has the greatest overall consumption value of halal products across all industries, according to a research published by the Halal Market 2020/2021. The public becomes more aware of a product's halal status as a result of this case, and they also demand further information about it. Thus, to guarantee a product's transparency, halal traceability is required. Halal traceability refers to the process of tracking a product's halal status. This study was carried out at PT Sreeya Sewu, a chicken slaughterhouse business that has integrated halal blockchain technology for halal traceability. The purpose of this study is to develop supply chain KPIs that take traceability into account. 12 Key Performance Indicators/KPIs will be chosen and verified once KPIs are created using the SCOR methodology. AHP pairwise comparisons will be used to weight the verified KPIs. According to the findings, KPI-02 has the most weight. KPI-10 Cycle time for item trace has the lowest weight at 0.076 and the highest percentage at 0.533 for halal training. © Published under licence by IOP Publishing Ltd.</t>
  </si>
  <si>
    <t>Calder R.</t>
  </si>
  <si>
    <t>Halalization: Religious Product Certification in Secular Markets</t>
  </si>
  <si>
    <t>https://www.scopus.com/inward/record.uri?eid=2-s2.0-85096862917&amp;doi=10.1177%2f0735275120973248&amp;partnerID=40&amp;md5=70a5e20310c1b91c47cc586ebd4123b2</t>
  </si>
  <si>
    <t>In Islam, the extension of religious regulation and certification to new product types and economic sectors—“halalization”—has become widespread. There are now Islamic mortgages, halal ports, halal refrigerators, halal blockchain, and shariah-compliant cryptocurrencies. Yet classical secularization theory says religious authority cannot regulate modern economic activity. So what explains halalization? I point to an elective affinity between fiqh (Islamic jurisprudence) and twenty-first-century markets. Contemporary fiqh offers widely respected religious jurists who issue fatwas certifying products. Entrepreneurs empanel the jurists on certification boards, allowing fiqh to function as a regime of voluntary regulation layered atop secular state law instead of conflicting with it. Indeed, secular liberal markets provide ideal conditions for halalization and religious meaning-making through consumption. Case studies of Islamic finance and halal logistics show how entrepreneurs assuage consumers’ religious anxieties—and generate new ones—in the context of globalization and liberalization in secular markets. © American Sociological Association 2020.</t>
  </si>
  <si>
    <t>economic secularism and secular markets; halal logistics; Islam and capitalism; Islamic finance; voluntary regulation and certification</t>
  </si>
  <si>
    <t>Sidarto, LP; Hamka, A</t>
  </si>
  <si>
    <t>Improving Halal Traceability Process in the Poultry Industry Utilizing Blockchain Technology: Use Case in Indonesia</t>
  </si>
  <si>
    <t>Demand for Halal food has significantly increased with the growing Muslim population and society's interest in sustainable food production. However, there has been an increase in concerns regarding the Halal food labeling transparency process, with misleading labels found across the world. Blockchain-based traceability systems are a potential solution for current limitations in monitoring the production process of food due to its inherent decentralization and immutable nature. The technology allows stakeholders, including consumers, to promote farm-to-fork transparency, where traceability is a core component. This paper will explore the blockchain-based traceability system use case implemented by the Indonesian poultry player PT Sreeya Sewu Indonesia Tbk. Utilizing a blockchain-based system as a foundation for traceability shows promising results: data throughout the process is recorded permanently and difficult to tamper. Although the system does not eliminate the possibility of incorrect information being recorded, the same immutability characteristics will keep the new knowledge of fraud permanent if found during the audit. This layer of accountability contributes to the transparency that benefits both the consumers and stakeholders of the value chain.</t>
  </si>
  <si>
    <t>blockchain; decentralization; halal traceability; poultry; transparency; supply chains</t>
  </si>
  <si>
    <t>Ellahi, RM; Wood, LC; Khan, M; Bekhit, AEA</t>
  </si>
  <si>
    <t>Integrity Challenges in Halal Meat Supply Chain: Potential Industry 4.0 Technologies as Catalysts for Resolution</t>
  </si>
  <si>
    <t>The application of Industry 4.0 technologies in the halal meat supply chain (HMSC) is an emerging but underexplored area. While technologies like 3D printing, AI, AR, metaverse, digital twins, robotics, and big data analytics are widely discussed in food production, their specific use in HMSC lacks comprehensive analysis. These technologies can address challenges such as cross-contamination, fraud, and traceability issues, but few studies have examined their practical implementation, highlighting the need for further empirical research. This review explores how Industry 4.0 technologies enhance efficiency, traceability, and transparency in HMSC and highlights the potential use of AR for real-time product verification, metaverse for virtual inspections, AI and robotics for improving efficiency, compliance, and hygiene, and digital twins for training and product quality monitoring. The review also identified research gaps, particularly the lack of focus on intelligent packaging, in vitro meat, and the 3D printing of halal meat products. The findings stress the need for greater exploration of these technologies in the HMSC, emphasizing their transformative potential in creating a transparent and efficient halal food system. Further research on emerging technologies like 3D printing and in vitro meat is essential, especially regarding their impact on halal standards and sustainability, ensuring future growth.</t>
  </si>
  <si>
    <t>halal; 3D printing; blockchain; Internet of Things; augmented reality; artificial intelligence; metaverse; digital twins; robotics; big data analytics</t>
  </si>
  <si>
    <t>Karyani, E; Geraldina, I; Haque, MG; Zahir, A</t>
  </si>
  <si>
    <t>Intention to adopt a blockchain-based halal certification: Indonesia consumers and regulatory perspective</t>
  </si>
  <si>
    <t>PurposeHalal certification is an acknowledgment of the halalness of a product or service issued by a halal regulator based on Islamic law. This study aims to investigate the intentions of consumers and regulators toward blockchain-based halal certification. Blockchain is useful for storing and verifying halal certificates, thereby increasing trust in products or services because the public cannot change or access data once it is stored.Design/methodology/approachThis study uses a triangulation approach by distributing online questionnaires to consumers as a research instrument of a quantitative approach processed with smart partial least squares. Meanwhile, the qualitative approach is carried out through observation, in-depth interviews with the Ministry of Religion's Halal Product Assurance Organizing Agency (BPJPH) and Halal Examination Agency (LPH), and forum group discussions (FGDs) with several related parties.FindingsThe observation results show that most consumers expect the government to provide an easy-to-use application to check halal food products and restaurants. Consumers' intention to use this technology is influenced directly by attitudes and indirectly by their beliefs. Furthermore, the results of interviews and FGDs reported that LPH was not ready to apply blockchain technology, while BPJPH strongly supported adopting blockchain technology in the certification process.Practical implicationsThis finding recommends that the Indonesian government apply blockchain technology to gain transparency and accountability regarding the halal product process.Originality/valueThis study fills the research gap by observing three perspectives from different stakeholders and using a triangulation approach to analyze the need for adoption of blockchain-based halal certification of halal food products.</t>
  </si>
  <si>
    <t>Blockchain; Food traceability; Halal certification; Halal supply chain; Intention to adopt blockchain</t>
  </si>
  <si>
    <t>Julius Cancer Zain, Gema Tedja Nugraha, Raden Didiet Rachmat Hidayat, Tenaka Budiman, Agus Setiawan</t>
  </si>
  <si>
    <t>The Implementation of Halal Supply Chain With Private Blockchain in Indonesia</t>
  </si>
  <si>
    <t>https://proceedings.itltrisakti.ac.id/index.php/ATLR/article/view/18</t>
  </si>
  <si>
    <t>Since Indonesia is the country with the largest Muslim population, the demand for halal products is increasing.Â Indonesia has not taken the advantage of these opportunities, such as, the implementation of supply chain activities were not integrated with stakeholders like suppliers, factories, transportation, logistics and retailers.Â  This is what has happened in PT Multi Terminal Indonesia warehousing with their halal storage.Â This paper explains the problem with a private blockchain technology that will help the integration and transparency of every data activities from stakeholders.Â This paper uses SWOT analysis and Qualitative research to determine the impact and to clearly describe the application of this system.Â The result of the analysis of the occurrence of collaboration between stakeholders in halal supply chain activities is synergistic and transparent.Â The use of the Private Blockchain will increase customer trust in halal products which raises awareness of the importance of halal supply chain. Moreover, private blockchain in transportation and logistics activities can be accessed by the customer through smartphones QR codeÂ  toÂ  achieve lean logistics.Â It changes the mindset of consumers to switch and believe in using products based on the Halal supply chain so that Indonesians escape from the current issue of religion.Â Â The writersâ€™ propose is Â to manage the Halal supply chain with the Private Blockchain in Indonesia by the Government,in this case the designated State-Owned Enterprises (SOEs).Â To introduce this system the government must socialize the above and below the Line.</t>
  </si>
  <si>
    <t>awareness; consumers; halal Products; muslim; private blockchain; transparency; trust</t>
  </si>
  <si>
    <t>Ahamed, NN; Vignesh, R; Alam, T</t>
  </si>
  <si>
    <t>Tracking and tracing the halal food supply chain management using blockchain, RFID, and QR code</t>
  </si>
  <si>
    <t>Blockchain is a disseminated open record that is utilized to record the exchange across numerous Personal computers. Blockchain innovation can be applied in any space like banking, medical services, land, travel, food, and store networks. In food products, halal food is served throughout the world. Halal does not only belong to Muslim people it's for everyone globally. Halal means cleanliness of this food product.so, ensure the food products are free from contamination of halal food with other food products. The smart contract was created in the halal food supply chain to ensure consumer trustworthily. Tracking and tracing the halal products in the supply chain from producer to consumer we implement some special tags (RFID/QR Code). These special tags track the food products from farm to consumer and vice versa tracing the halal food from consumer to producer to reduce the contamination of food items with halal food items.</t>
  </si>
  <si>
    <t>Blockchain; Smart Contract; Halal Food; RFID; QR Code</t>
  </si>
  <si>
    <t>Article; Early Access</t>
  </si>
  <si>
    <t>Hidayati J.; Vamelia R.; Hammami J.; Endri E.</t>
  </si>
  <si>
    <t>Transparent distribution system design of halal beef supply chain</t>
  </si>
  <si>
    <t>https://www.scopus.com/inward/record.uri?eid=2-s2.0-85144841973&amp;doi=10.5267%2fj.uscm.2022.12.003&amp;partnerID=40&amp;md5=fe1aae6b46ad6e6794424f35796aa183</t>
  </si>
  <si>
    <t>Halal food is food whose halal status is regulated by sharia institutions such as LPPOM MUI which is set by the government. The halal status of food must be traced from the process of raw materials, processing, packaging, transportation, and distribution to the final consumer. It is difficult to trace the certainty of halal food, especially beef in Medan City because the supply chain information from upstream to downstream is not transparent. To increase the transparency of beef status and increase consumer confidence, especially Muslim consumers, a distributed and transparent system is needed, where many parties can access the status of food at any time. So Blockchain technology is used to help track the halal status of beef along the supply chain. The purpose of this study is to design a system to obtain information certainty that beef distributed along the supply chain is halal and safe for consumption by utilizing Blockchain technology and to increase public safety and trust in the LPPOM MUI halal certification system. Based on the discussion and research analysis, it is known that the information in the halal beef supply chain in Medan City uses blockchain technology designed with a data security system using smart contracts, where information that has been stored cannot be changed by any party. so that there is a guarantee of information security in the beef supply chain in the city of Medan. This research is expected to support transparency, security, and certainty of information about halal beef in Medan City. © 2023 Growing Science Ltd. All rights reserved.</t>
  </si>
  <si>
    <t>Blockchain Technology; Halal Food; Supply Chain; Transparency</t>
  </si>
  <si>
    <t>Tieman, M; Darun, MR; Fernando, Y; Ngah, A</t>
  </si>
  <si>
    <t>Utilizing Blockchain Technology to Enhance Halal Integrity: The Perspectives of Halal Certification Bodies</t>
  </si>
  <si>
    <t>Brand owners face multiple challenges in establishing end-to-end halal supply chains and in halal issue management. To this end, leading Halal Certification Bodies (HCBs) set up a discussion group to achieve consensus on a way forward and to examine the potential role of the halal blockchain in resolving these issues, as well as the key parameters, and segregation and communication requirements of the blockchain. Halal issues can be divided broadly into three areas: contamination, non-compliance and perception. Only cases involving contamination and non-compliance need to be reported to the HCB. Consensus has been achieved in the segregation of halal supply chains in terms of designated halal transport, storage and halal compliant terminals, for Muslim (majority) countries, whereas in non-Muslim (majority) countries greater leniency is possible. Effective segregation is only possible with effective communication, whereby the term 'halal supply chain' is encoded in freight documents, on freight labels and within the ICT system.</t>
  </si>
  <si>
    <t>Halal supply chain; Blockchain technology; Halal Certification Bodies (HCBs)</t>
  </si>
  <si>
    <t>Wresni Anggraini, Wakhid Slamet Ciptono and Luluk Lusiantoro, Heru Kurnianto Tjahjono</t>
  </si>
  <si>
    <t>Halal Food Integrity: Systematic Literature Review and Research Agendas</t>
  </si>
  <si>
    <t>https://ieomsociety.org/proceedings/2023manila/406.pdf</t>
  </si>
  <si>
    <t>Particularly, Food integrity is a comprehensive construct that relates to food production. Halal Food Integrity (HFI)
means that in producing food, Islamic law should be noticed and applied. Halal integrity of the product is a result of
the various activities in the supply chain, so HFI encapsulates the whole of the Halal Food Supply Chain (HFSC).
This paper presents a Systematic Literature Review (SLR) on HFI and some research agendas on it. Using SLR
methodology and based on the Preferred Reporting for Systematic Reviews and Meta-Analyses (PRISMA) protocol.
In total, by 89 articles from Scopus database, published in journals over 12 years, 34 articles were selected, mapped,
and assessed. The bibliometric approach made it possible to extract a large amount of useful information which was
previously scattered and to present it in a systematic way. The analysis of the co-occurrence network of keywords
identified five distinct clusters, corresponding to the dominant research themes in the area, which suggested the design
of a research agenda. The authors find that the key to improved halal integrity is transparency so that consumers can
make informed decisions. Halal transparency along the food supply chain could be enhanced by a halal traceability
system. Unfortunately, there are some barriers and challenges in adopting advanced traceability technology in Many
companies, especially in developing countries. Future research agendas could be in the area of enhancing traceability
technology to ensure HFI while considering the barrier and inhibitor that encountered by many food companies.</t>
  </si>
  <si>
    <t>Supply Chain, Halal Food Integrity, Transparency, Systematic Literature Review, PRISMA</t>
  </si>
  <si>
    <t>Proceedings of the 13 th Annual International Conference on Industrial Engineering and Operations Management, March 7-9, 202, Manila, Philippines</t>
  </si>
  <si>
    <t>Miftakhurrizal Kurniawan 1,2,* , Suparno Suparno 2 and Iwan Vanany 2</t>
  </si>
  <si>
    <t xml:space="preserve"> Conceptual Framework for Halal Supply Chain Traceability and
 Food Safety in Indonesia Based on Blockchain Technology and
 Internet of Things to Support Sustainable Development</t>
  </si>
  <si>
    <t>https://doi.org/10.3390/engproc2025084027</t>
  </si>
  <si>
    <t>Halal supply chain traceability and food safety are critical issues in the food
 industry, especially in Indonesia, which has the largest Muslim population in the world.
 This study aims to develop a halal supply chain traceability and food safety model based on
 Blockchain and Internet of Things (IoT) that can improve transparency, efficiency, consumer
 trust in food products, and support sustainable development. This study proposes a
 conceptual framework for a halal supply chain traceability and food safety model based on
 Blockchain and IoT technologies. This model is expected to help Indonesia address issues
 related to halal assurance and food safety.</t>
  </si>
  <si>
    <t>Conference Proceeding Paper</t>
  </si>
  <si>
    <t>Engineering Proceedings</t>
  </si>
  <si>
    <t>D.A. Kurniawati and A. Cakravastia</t>
  </si>
  <si>
    <t>A review of halal supply chain research: Sustainability and operations
research perspective</t>
  </si>
  <si>
    <t>https://doi.org/10.1016/j.clscn.2023.100096</t>
  </si>
  <si>
    <t>This paper presents a comprehensive literature review of halal supply chain optimization from the perspective of
sustainability and the application of operation research (OR) methodology. There are three issues in the halal
supply chain that could describe its close relationship with sustainability. The first is halal integrity to ensure the
halal-ness of a product. The second is the limited adoption of halal supply chain, and the third issue is limited
number of studies that discuss sustainability in halal supply chain. To the best of our knowledge, there are very
few researches in halal supply chain, particularly which consider sustainability in halal supply chain and which
apply operation research (OR) method. The literature review is done through a comprehensive review of pub-
lications from 2000 to 2022. The review papers are classified based on eight categories in the taxonomy
developed in this study. This paper may contribute to giving comprehensive review and identifying research
challenges in sustainable halal supply chain optimization with OR approach. Based on the review, halal supply
chain studies have been showing an increasing trend starting from 2011. Most publications are from Malaysia,
while Indonesia comes second even though Indonesia has the largest Moslem population in the world. Most of
the studies focus on whole supply chain and strategic decision level. Limited research is found in operation level
decision. Most of the study focus on the study of food and beverages. Only a few studies have considered sus-
tainability issue in halal supply chain. The review found that there is a balance between the application of
quantitative and qualitative approach in halal supply chain. However artificial intelligence (AI) approach has not
yet been applied in the research area of halal supply chain. Based on those findings, it is necessary to conduct
more studies in the area of halal supply chain and relate it with sustainability using OR/AI methodology.</t>
  </si>
  <si>
    <t>Sustainability
Halal supply chain
Optimization
Operation research
Review</t>
  </si>
  <si>
    <t>Journal</t>
  </si>
  <si>
    <t>Cleaner Logistics and Supply Chain</t>
  </si>
  <si>
    <t>Raihana Mohd Raff, Hadia Fauza Khairon</t>
  </si>
  <si>
    <t>Food Loss and Waste in the Halal Supply Chain: A Systematic Literature Review</t>
  </si>
  <si>
    <t>https://magscholar.com/jhsr/</t>
  </si>
  <si>
    <t>Food loss and waste have been a point of discussion since a decade ago. In fact, it has been a
highlight recently due to the increasing global food crisis as well as the COVID-19 pandemic. It
is found many works of literature define food loss and waste individually and interchangeably.
The 2019 report from the Food and Agriculture Organization (FAO) of the United Nations defines
food loss as the decrease in the quantity or quality of food resulting from decisions and actions by
food suppliers in the chain, excluding retail, food service providers, and consumers. Food loss and
waste reflect the complex inefficiencies throughout the food supply chain. The conventional
understanding of food loss and waste focuses mainly on disposed of or unused foods. However,
understanding what constitutes food loss and waste is rather complex, as it comprises several
dimensions. The halal supply chain can be an important instrument in managing loss and waste by
adopting a more detailed approach from the traditional supply chain. Therefore, the objective of
this study is to provide findings based on the systematic literature review presented by reviewing
20 articles, which are relevant to the study.</t>
  </si>
  <si>
    <t>Food Loss, Food Waste, Food Supply Chain, Halal</t>
  </si>
  <si>
    <t>Journal of Halal Service Research</t>
  </si>
  <si>
    <t>Ahmad Shalihin</t>
  </si>
  <si>
    <t>A Review Halal Food Supply Chain Practices Research</t>
  </si>
  <si>
    <t>https://www.researchgate.net/publication/371749257_A_Review_Halal_Food_Supply_Chain_Practices_Research?enrichId=rgreq-ac43bca964ff2f86ba49bba1a7474403-XXX&amp;enrichSource=Y292ZXJQYWdlOzM3MTc0OTI1NztBUzoxMTQzMTI4MTIxMjkxNTU1M0AxNzAyOTAwMjI1OTgx&amp;el=1_x_3&amp;_esc=publicationCoverPdf</t>
  </si>
  <si>
    <t xml:space="preserve">This paper presents a systematic review of halal practices on the topic of halal food supply chain (HFSC). HFSC is a 
developing concept (since 2010) as a development of the classic supply chain concept due to the increasing awareness 
to provide halal food for Muslim and non-Muslim customers. This study has reviewed 120 papers (60 empirical 
papers) and provides four main findings. First, from a theoretical point of view, the theory of planned behavior, the 
theory of reasoned action, and the arc integration approach are the most widely used theories to study halal practices 
in HFSC. Second, the choice of quantitative methods dominates empirical papers on Halal Practices in HFSC studies. 
Third, the majority of Halal Practice Studies at HFSC are conducted in Muslim countries with the food and beverage 
industry as the main sector studied. Fourth, based on the results of social network analysis, halal practices in the HFSC 
study are grouped into three research themes, namely issues related to HFSC and food issues. This study suggests a 
future research agenda such as elaborating theoretical and methodological aspects by examining three research themes. 
This paper will contribute to the HSC body of knowledge. </t>
  </si>
  <si>
    <t xml:space="preserve">Halal, Halal Practice, Halal Food Supply chain, bibliometric technique, network analysis. </t>
  </si>
  <si>
    <t xml:space="preserve">Proceedings of the International Conference on Industrial Engineering and Operations Management 
Manila, Philippines, March 7-9, 2023 </t>
  </si>
  <si>
    <t xml:space="preserve"> Nurul Indarti</t>
  </si>
  <si>
    <t>Asystematicreviewofhalal
 supply chain research:
 to whereshall wego?</t>
  </si>
  <si>
    <t>https://www.emerald.com/insight/1759-0833.htm</t>
  </si>
  <si>
    <t xml:space="preserve"> Purpose– This study aims to explore existing study trends in the halal supply chain (HSC) field as
 an extension of supply chain studies. Upon examining multiple journal ranks and citation profiles,
 these trends cover research themes, methodologies, settings (country and data analysis level) and
 their interactions.
 Design/methodology/approach– The study followed a systematic, mixed-method review to pinpoint
 the HSC research themes. The Publish or Perish software, with specific criteria, was used to retrieve and filter
 87 HSC articles from 2009 to 2019 from the Google Scholar database. Then, an input–process–output
 frameworkwasusedtoclassifyanddiscusspotentialfuture research.
 Findings– This study concludes that HSC research is still in early development. Five themes
 consisting of 24 different topics were found: the engagement process, quality control assurance,
 critical success factors, the production and distribution process and HSC operations support. Most of
 the HSC studies followed conceptual and qualitative interview methods, with special reference to
 Muslim-majority countries and organization-level analysis. Within one decade, the number of HSC
 publications grew significantly, though their presentation is mainly in unindexed journals and their
 citation rate is low. This study thus proposes three main future HSC research points: HSC
 consequences, processes and antecedents.
 Practical implications– Possible practical implications can be expected from the authors’ proposed
 empirical studies as guidelines to formulate and promote HSC implementation.
 Originality/value– No comprehensive HSC research review exists in the literature. This study
 intends to fill this void by charting cumulative knowledge and proposing a roadmap for future
 research endeavors.</t>
  </si>
  <si>
    <t>Halalsupply chain, Supply chain, Systematic review, Interpretation analysis</t>
  </si>
  <si>
    <t>Literature review</t>
  </si>
  <si>
    <t xml:space="preserve"> Journal of Islamic Marketing
 ©EmeraldPublishingLimited</t>
  </si>
  <si>
    <t>Ahmad Ridho</t>
  </si>
  <si>
    <t>Integrating Artificial Intelligence and Blockchain to Improve the Accuracy of Halal Certification</t>
  </si>
  <si>
    <t>http://doi.org/10.70764/gdpu-jhr.2025.1(1)-02</t>
  </si>
  <si>
    <t>Objective: The study aims to explore the integration of AI and blockchain into the halal certification process to improve accuracy, transparency, and efficiency. It evaluates their impact on Indonesia's halal certification system via the SHlal platform.
Research Design &amp; Methods: Qualitative approach using literature review, case studies, and stakeholder interviews.
Findings: AI and blockchain enhance efficiency, transparency, and security. AI automates error detection; blockchain prevents fraud. The SHlal platform boosts trust and satisfaction.
Implications &amp; Recommendations: Expand SHlal, develop tech infrastructure, train auditors, and encourage adoption by businesses.
Contribution: Demonstrates how AI-blockchain integration modernizes halal certification, positioning Indonesia as a global leader.</t>
  </si>
  <si>
    <t>artificial intelligence (AI), blockchain, halal certification</t>
  </si>
  <si>
    <t>Research paper</t>
  </si>
  <si>
    <t>Journal of Halal Review, Vol 01 (1) 2024, pp. 12-22</t>
  </si>
  <si>
    <t>SABRINA TARANNUM , MD. SHAH JALAL , AND MOHAMMAD NURUL HUDA</t>
  </si>
  <si>
    <t>HALALCheck: A Multi-Faceted Approach for Intelligent Halal Packaged Food Recognition and Analysis</t>
  </si>
  <si>
    <t>10.1109/ACCESS.2024.3367983</t>
  </si>
  <si>
    <t>Halal cuisine in Islamic religion is crucial because it signifies food that is legal according to
Islamic Shariah to guarantee that they adhere to their religious beliefs. This study addresses the critical
role of Halal cuisine in Islamic dietary practices, emphasizing its significance in adhering to Islamic
Shariah. The research aims to tackle the challenge of identifying and validating Halal-certified foods where
Halal certification is absent or unclear, making it challenging for Muslim consumers, especially tourists,
to confidently identify permissible foods. Traditional approaches are often not scalable or adaptable to
the dynamic nature of packaged food products, leading to inaccuracies in Halal classification. To address
this issue, we propose a more robust, automated, and technologically advanced solution, a novel method
utilizing deep learning and machine learning approaches for Halal food recognition. The system employs
the YOLOv5 detection algorithm to identify ingredients in packaged food products, and subsequent feature
extraction through an optical character recognition system. After preprocessing, a combination of trained
machine learning models, neural networks, and rule-based systems classifies the ingredients, accurately
determining the Halal or Haram status of food products. The research yields promising results, with the
proposed Halal packaged food recognition system achieving an accuracy rate of 98%, validated through
comparison with the opinions of three Islamic scholars. This innovative approach holds significant potential
for aiding Muslim consumers in efficiently recognizing Halal-certified items, especially when navigating
unfamiliar environments. However, the proposed intelligent system assists Muslim tourists in identifying
Halal food across the world.</t>
  </si>
  <si>
    <t>Halal food, Islamic Shariah, machine learning, Muslim consumer, food classification, deep
learning, rule-based model.</t>
  </si>
  <si>
    <t>IEEE Access</t>
  </si>
  <si>
    <t>Akhilesh Kumar Singh Zahid Raza</t>
  </si>
  <si>
    <t>A framework for IoT and blockchain based smart food chain
management system</t>
  </si>
  <si>
    <t>https://scholar.google.com/scholar?hl=en&amp;as_sdt=0%2C5&amp;q=A+framework+for+IoT+and+blockchain+based+smart+food+chain+management+system+Akhilesh+Kumar+Singh+Zahid+Raza+School+of+Computer+and+Systems+Sciences%2C+Jawaharlal+Nehru+University%2C+New+Delhi%2C+India+Correspondence+Zahid&amp;btnG=</t>
  </si>
  <si>
    <t>The worldwide food supply chain network firms have embraced digitalization and have
changed customers’ everyday lives in serval viewpoints. This work proposes a framework
for IoT and Blockchain based smart Food Chain Management System (IBFS)
aiming to regulate the food inventory systems in an organization focusing on the safety
and nature of the items conveyed to the end consumers. The proposed IBFS framework
is an IoT-based blockchain with smart contract architecture for trust, reliability, and
transparency.AMessageQueueTelemetryTransport(MQTT) (MessageQueueTelemetry
Transport) broker or server is deployed on the broadcast to record all data collected
from the IoT sensors. The data provided by IoT-sensors or devices is pooled and
gathered by MQTT based cloud brokers and the shipment’s geolocation, movement,
and temperature are logged. The work uses two types of smart contracts based on
Ethereum-based blockchain technology (BCT) environment as the operational backbone
written in the Solidity language. The first smart contract deals with custody and
the second smart contract deals with shipment or transportation to track the produce.
The food supply chain process evaluates the collected data from the IoT sensors managed
with the help of blockchain andMQTT servers. The quality of food is measured by
evaluatingby temperature and humidity function, transition time, final item and for validation
of smart contracts. Performance evaluation of IBFS in terms of Gas cost under
various test conditions prove the effectiveness of the work.</t>
  </si>
  <si>
    <t>blockchain, food supply chain, IoT</t>
  </si>
  <si>
    <t>Research gate</t>
  </si>
  <si>
    <t>Artnice Mega Fathima1, Laila Rahmawati1,*, Anjar Windarsih1,2, and Suratno1</t>
  </si>
  <si>
    <t>Advanced Halal Authentication Methods and
Technology for Addressing Non-Compliance
Concerns in Halal Meat and Meat Products
Supply Chain: A Review</t>
  </si>
  <si>
    <t>https://doi.org/10.5851/kosfa.2024.e75</t>
  </si>
  <si>
    <t>Religious beliefs have a significant impact on consumer preferences, particularly
in relation to food choices. Islam, like other religions, imposes specific dietary guidelines,
notably regarding meat and meat products. However, ensuring compliance with halal
standards across the entire meat and meat products supply chain presents considerable
challenges. Instances of non-compliance, including improper slaughtering techniques,
mislabeling, adulteration, and contamination, have caused concerns about the authenticity
of halal status. To address these concerns, this review explores recent advancements in
halal authentication methods and technology, focusing on practical objectives aimed at
addressing non-compliance issues. It categorizes methods into four main areas of noncompliance
concerns, providing a unique perspective compared to earlier reviews that
primarily examined the progression of analytical methods. This classification offers a
comprehensive analysis of the field’s current status, facilitating the identification of
research gaps and strategic recommendations for enhancing future halal authentication
methods. Through the implementation of this novel approach, the review seeks to
promote the development of a more robust framework for evaluating halal meat and meat
products, safeguarding consumer trust and ensuring adherence to religious dietary
guidelines in the future.</t>
  </si>
  <si>
    <t>halal, meat, meat products, non-compliance concerns, halal authentication methods</t>
  </si>
  <si>
    <t>Review Paper</t>
  </si>
  <si>
    <t>Food Science of Animal Resources</t>
  </si>
  <si>
    <t>Yusof</t>
  </si>
  <si>
    <t>Image Segmentation and Verification Based on
Machine Learning for Vision Inspection of Chicken
Slaughtering</t>
  </si>
  <si>
    <t>doi:10.1088/1742-6596/1447/1/012024</t>
  </si>
  <si>
    <t>According to the Islamic Law, one of the procedures in halal slaughtering of chicken
is the step of severing the trachea, esophagus and both the carotid arteries and jugular veins to
accelerate the chicken’s bleeding and death. Syariah Compliance Automated Chicken
Processing System (SYCUT) uses the Vision Inspection Technology to detect and classify
whether a chicken is halal or not. The lack of quality and halal assurance in chicken processing
industry made it a need to produce such technology. The system implements image processing
techniques and artificial intelligence approach, particularly the Viola and Jones object detection
framework for esophagus detection. The results of the experiment from two different sites are
81.8% and 55% respectively. The detection module shows a result of 95.6% and 93.5% also
from two different sites which are accuracy as good as a human personnel.</t>
  </si>
  <si>
    <t>Conference Series</t>
  </si>
  <si>
    <t>Journal of Physics:
Conference Series</t>
  </si>
  <si>
    <t>Pei Chi Ng1 Nur Amy Syahira Ahmad Ruslan1 Ling Xuan Chin1
Musa Ahmad2 Sharina Abu Hanifah3 Zanariah Abdullah1 Sook Mei Khor1</t>
  </si>
  <si>
    <t>Recent advances in halal food authentication: Challenges
and strategies</t>
  </si>
  <si>
    <t>DOI: 10.1111/1750-3841.15998</t>
  </si>
  <si>
    <t>Increasing public awareness of food quality and safety has prompted
a rapid increase in food authentication of halal food, which covers the production
method, technical processing, identification of undeclared components, and
species substitution in halal food products. This urges for extensive research into
analytical methods to obtain accurate and reliable results for monitoring and
controlling the authenticity of halal food. Nonetheless, authentication of halal
food is often challenging because of the complex nature of food and the increasing
number of food adulterants that cause detection difficulties. This review provides
a comprehensive and impartial overview of recent studies on the analytical
techniques used in the analysis of halal food authenticity (from 1980 to the
present, but there has been no significant trend in the choice of techniques for
authentication of halal food during this period). Additionally, this review highlights
the classification of different methodologies based on validity measures
that provide valuable information for future developments in advanced technology.
In addition, methodological developments, and novel emerging techniques
as well as their implementations have been explored in the evaluation of halal
food authentication. This includes food categories that require halal authentication,
illustrating the advantages and disadvantages as well as shortcomings during
the use of all approaches in the halal food industry.</t>
  </si>
  <si>
    <t>biosensor, electronic nose, food adulteration, gelatin, halal food authentication, haram, polymerase
chain reaction</t>
  </si>
  <si>
    <t>Institute of Food Technologists</t>
  </si>
  <si>
    <t>Wildan Fajar Bachtiar, Nur Aini Masruroh and Anna Maria Sri Asih</t>
  </si>
  <si>
    <t>Halal food sustainable traceability
framework for the meat
processing industry</t>
  </si>
  <si>
    <t>https://www.emerald.com/insight/content/doi/10.1108/jima-12-2023-0412/full/pdf?title=halal-food-sustainable-traceability-framework-for-the-meat-processing-industry</t>
  </si>
  <si>
    <t>Purpose – This study aims to propose a framework for Halal Food Sustainable Traceability, with the
purpose of investigating the implementation of traceability and sustainability within organizations operating
in the halal food industry as well as exploring the impact of these practices on organizational performance.
This study examines the meat processing sector in Indonesia, focusing on medium to large-scale industrial
operations. The rationale for this investigation stems from Indonesia’s substantial potential in the competitive
worldwide halal food industry.
Design/methodology/approach – The research framework has been developed by an extensive review
of relevant literature, with a specific emphasis on the cycle of the halal food sustainable traceability
framework. This cycle encompasses four key stages, including the roles played by authorities, the process of
standardization, the implementation phase and the importance of collaboration. The study analyses and
validates data using partial least square-structural equation modeling and empirically tests the theoretical
framework using 109 Indonesian halal food industry data.
Findings – The research identifies potential obstacles and difficulties that may arise during different
phases of the halal food sustainable traceability framework. Concerns regarding authority,
standardization, implementation and collaboration are among these. In addition, strategies for
overcoming these obstacles are deliberated upon, including knowledge sharing, transparency, ongoing
reporting and strategic collaboration.
Originality/value – The present study introduces a Halal Sustainable Traceability Framework that
incorporates the principles of halal, traceability, sustainability and their effects on organizational
performance. This study offers significant perspectives on the difficulties and resolutions pertaining to the
traceability and sustainability of halal food in Indonesia.</t>
  </si>
  <si>
    <t>Halal food, Traceability, Certification, Supply chain, Framework, Sustainability</t>
  </si>
  <si>
    <t>Emerald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</si>
</sst>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u/>
      <sz val="11"/>
      <color theme="10"/>
      <name val="Calibri"/>
      <family val="2"/>
      <scheme val="minor"/>
    </font>
    <font>
      <b/>
      <sz val="12"/>
      <color theme="1"/>
      <name val="Times New Roman"/>
      <family val="1"/>
    </font>
    <font>
      <sz val="12"/>
      <color theme="1"/>
      <name val="Times New Roman"/>
      <family val="1"/>
    </font>
    <font>
      <sz val="12"/>
      <name val="Times New Roman"/>
      <family val="1"/>
    </font>
    <font>
      <u/>
      <sz val="12"/>
      <color theme="10"/>
      <name val="Times New Roman"/>
      <family val="1"/>
    </font>
    <font>
      <sz val="12"/>
      <color rgb="FF111111"/>
      <name val="Times New Roman"/>
      <family val="1"/>
    </font>
    <font>
      <sz val="11"/>
      <color theme="1"/>
      <name val="Times New Roman"/>
      <family val="1"/>
    </font>
    <font>
      <u/>
      <sz val="11"/>
      <color theme="10"/>
      <name val="Times New Roman"/>
      <family val="1"/>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9">
    <xf numFmtId="0" fontId="0" fillId="0" borderId="0" xfId="0"/>
    <xf numFmtId="0" fontId="2" fillId="0" borderId="0" xfId="0" applyFont="1"/>
    <xf numFmtId="0" fontId="3" fillId="0" borderId="0" xfId="0" applyFont="1"/>
    <xf numFmtId="0" fontId="3" fillId="0" borderId="0" xfId="0" applyFont="1" applyAlignment="1">
      <alignment vertical="center"/>
    </xf>
    <xf numFmtId="0" fontId="4" fillId="2" borderId="0" xfId="0" applyFont="1" applyFill="1"/>
    <xf numFmtId="0" fontId="5" fillId="0" borderId="0" xfId="1" applyFont="1"/>
    <xf numFmtId="0" fontId="6" fillId="0" borderId="0" xfId="0" applyFont="1"/>
    <xf numFmtId="0" fontId="7" fillId="0" borderId="0" xfId="0" applyFont="1"/>
    <xf numFmtId="0" fontId="8"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arxiv.org/abs/2410.07305" TargetMode="External"/><Relationship Id="rId13" Type="http://schemas.openxmlformats.org/officeDocument/2006/relationships/hyperlink" Target="https://doi.org/10.3390/engproc2025084027" TargetMode="External"/><Relationship Id="rId18" Type="http://schemas.openxmlformats.org/officeDocument/2006/relationships/hyperlink" Target="https://scholar.google.com/scholar?hl=en&amp;as_sdt=0%2C5&amp;q=A+framework+for+IoT+and+blockchain+based+smart+food+chain+management+system+Akhilesh+Kumar+Singh+Zahid+Raza+School+of+Computer+and+Systems+Sciences%2C+Jawaharlal+Nehru+University%2C+New+Delhi%2C+India+Correspondence+Zahid&amp;btnG=" TargetMode="External"/><Relationship Id="rId3" Type="http://schemas.openxmlformats.org/officeDocument/2006/relationships/hyperlink" Target="https://journals.alqasimia.ac.ae/index.php/ie/article/view/373" TargetMode="External"/><Relationship Id="rId7" Type="http://schemas.openxmlformats.org/officeDocument/2006/relationships/hyperlink" Target="https://www.jstage.jst.go.jp/article/jaalr/3/2/3_9/_article/-char/ja/" TargetMode="External"/><Relationship Id="rId12" Type="http://schemas.openxmlformats.org/officeDocument/2006/relationships/hyperlink" Target="https://ieomsociety.org/proceedings/2023manila/406.pdf" TargetMode="External"/><Relationship Id="rId17" Type="http://schemas.openxmlformats.org/officeDocument/2006/relationships/hyperlink" Target="http://doi.org/10.70764/gdpu-jhr.2025.1(1)-02" TargetMode="External"/><Relationship Id="rId2" Type="http://schemas.openxmlformats.org/officeDocument/2006/relationships/hyperlink" Target="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TargetMode="External"/><Relationship Id="rId16" Type="http://schemas.openxmlformats.org/officeDocument/2006/relationships/hyperlink" Target="https://www.emerald.com/insight/1759-0833.htm" TargetMode="External"/><Relationship Id="rId20" Type="http://schemas.openxmlformats.org/officeDocument/2006/relationships/hyperlink" Target="https://www.emerald.com/insight/content/doi/10.1108/jima-12-2023-0412/full/pdf?title=halal-food-sustainable-traceability-framework-for-the-meat-processing-industry" TargetMode="External"/><Relationship Id="rId1" Type="http://schemas.openxmlformats.org/officeDocument/2006/relationships/hyperlink" Target="https://unissa.edu.bn/journal/index.php/jhst/article/download/718/618" TargetMode="External"/><Relationship Id="rId6" Type="http://schemas.openxmlformats.org/officeDocument/2006/relationships/hyperlink" Target="https://link.springer.com/article/10.1007/s41870-023-01650-8" TargetMode="External"/><Relationship Id="rId11" Type="http://schemas.openxmlformats.org/officeDocument/2006/relationships/hyperlink" Target="https://acta.sze.hu/index.php/acta/article/view/467" TargetMode="External"/><Relationship Id="rId5" Type="http://schemas.openxmlformats.org/officeDocument/2006/relationships/hyperlink" Target="https://www.icrjournal.org/index.php/icr/article/view/167" TargetMode="External"/><Relationship Id="rId15" Type="http://schemas.openxmlformats.org/officeDocument/2006/relationships/hyperlink" Target="https://www.researchgate.net/publication/371749257_A_Review_Halal_Food_Supply_Chain_Practices_Research?enrichId=rgreq-ac43bca964ff2f86ba49bba1a7474403-XXX&amp;enrichSource=Y292ZXJQYWdlOzM3MTc0OTI1NztBUzoxMTQzMTI4MTIxMjkxNTU1M0AxNzAyOTAwMjI1OTgx&amp;el=1_x_3&amp;_esc=publicationCoverPdf" TargetMode="External"/><Relationship Id="rId10" Type="http://schemas.openxmlformats.org/officeDocument/2006/relationships/hyperlink" Target="https://www.tandfonline.com/doi/abs/10.1080/21681015.2022.2040622" TargetMode="External"/><Relationship Id="rId19" Type="http://schemas.openxmlformats.org/officeDocument/2006/relationships/hyperlink" Target="https://doi.org/10.5851/kosfa.2024.e75" TargetMode="External"/><Relationship Id="rId4" Type="http://schemas.openxmlformats.org/officeDocument/2006/relationships/hyperlink" Target="http://journals.hh-publisher.com/index.php/JHIS/article/view/75" TargetMode="External"/><Relationship Id="rId9" Type="http://schemas.openxmlformats.org/officeDocument/2006/relationships/hyperlink" Target="https://prosiding.umy.ac.id/ictced/index.php/ictced/article/view/75" TargetMode="External"/><Relationship Id="rId14" Type="http://schemas.openxmlformats.org/officeDocument/2006/relationships/hyperlink" Target="https://doi.org/10.1016/j.clscn.2023.10009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3"/>
  <sheetViews>
    <sheetView tabSelected="1" topLeftCell="A49" workbookViewId="0">
      <selection activeCell="M61" sqref="M61"/>
    </sheetView>
  </sheetViews>
  <sheetFormatPr defaultRowHeight="15" x14ac:dyDescent="0.25"/>
  <sheetData>
    <row r="1" spans="1:10" ht="15.75" x14ac:dyDescent="0.25">
      <c r="A1" s="1" t="s">
        <v>0</v>
      </c>
      <c r="B1" s="1" t="s">
        <v>1</v>
      </c>
      <c r="C1" s="1" t="s">
        <v>2</v>
      </c>
      <c r="D1" s="1" t="s">
        <v>3</v>
      </c>
      <c r="E1" s="1" t="s">
        <v>4</v>
      </c>
      <c r="F1" s="1" t="s">
        <v>5</v>
      </c>
      <c r="G1" s="1" t="s">
        <v>6</v>
      </c>
      <c r="H1" s="1" t="s">
        <v>7</v>
      </c>
      <c r="I1" s="1" t="s">
        <v>8</v>
      </c>
      <c r="J1" s="1" t="s">
        <v>9</v>
      </c>
    </row>
    <row r="2" spans="1:10" ht="15.75" x14ac:dyDescent="0.25">
      <c r="A2" s="2" t="s">
        <v>10</v>
      </c>
      <c r="B2" s="2" t="s">
        <v>11</v>
      </c>
      <c r="C2" s="2">
        <v>2025</v>
      </c>
      <c r="D2" s="2" t="s">
        <v>12</v>
      </c>
      <c r="E2" s="2" t="s">
        <v>13</v>
      </c>
      <c r="F2" s="2" t="s">
        <v>14</v>
      </c>
      <c r="G2" s="2" t="s">
        <v>15</v>
      </c>
      <c r="H2" s="2" t="s">
        <v>16</v>
      </c>
      <c r="I2" s="2">
        <v>1</v>
      </c>
      <c r="J2" s="2" t="s">
        <v>17</v>
      </c>
    </row>
    <row r="3" spans="1:10" ht="15.75" x14ac:dyDescent="0.25">
      <c r="A3" s="2" t="s">
        <v>18</v>
      </c>
      <c r="B3" s="2" t="s">
        <v>19</v>
      </c>
      <c r="C3" s="2">
        <v>2023</v>
      </c>
      <c r="D3" s="2" t="s">
        <v>20</v>
      </c>
      <c r="E3" s="3" t="s">
        <v>21</v>
      </c>
      <c r="F3" s="3" t="s">
        <v>22</v>
      </c>
      <c r="G3" s="2"/>
      <c r="H3" s="2" t="s">
        <v>23</v>
      </c>
      <c r="I3" s="2">
        <v>1</v>
      </c>
      <c r="J3" s="2" t="s">
        <v>17</v>
      </c>
    </row>
    <row r="4" spans="1:10" ht="15.75" x14ac:dyDescent="0.25">
      <c r="A4" s="2" t="s">
        <v>24</v>
      </c>
      <c r="B4" s="2" t="s">
        <v>25</v>
      </c>
      <c r="C4" s="2">
        <v>2023</v>
      </c>
      <c r="D4" s="2" t="s">
        <v>26</v>
      </c>
      <c r="E4" s="2" t="s">
        <v>27</v>
      </c>
      <c r="F4" s="2" t="s">
        <v>28</v>
      </c>
      <c r="G4" s="2" t="s">
        <v>29</v>
      </c>
      <c r="H4" s="2" t="s">
        <v>30</v>
      </c>
      <c r="I4" s="2">
        <v>1</v>
      </c>
      <c r="J4" s="2" t="s">
        <v>17</v>
      </c>
    </row>
    <row r="5" spans="1:10" ht="15.75" x14ac:dyDescent="0.25">
      <c r="A5" s="4" t="s">
        <v>31</v>
      </c>
      <c r="B5" s="4" t="s">
        <v>32</v>
      </c>
      <c r="C5" s="4">
        <v>2024</v>
      </c>
      <c r="D5" s="4" t="str">
        <f>HYPERLINK("http://dx.doi.org/10.1080/13675567.2023.2217772","http://dx.doi.org/10.1080/13675567.2023.2217772")</f>
        <v>http://dx.doi.org/10.1080/13675567.2023.2217772</v>
      </c>
      <c r="E5" s="4" t="s">
        <v>33</v>
      </c>
      <c r="F5" s="4" t="s">
        <v>34</v>
      </c>
      <c r="G5" s="4" t="s">
        <v>29</v>
      </c>
      <c r="H5" s="4" t="str">
        <f>HYPERLINK("https%3A%2F%2Fwww.webofscience.com%2Fwos%2Fwoscc%2Ffull-record%2F","View Full Record in Web of Science")</f>
        <v>View Full Record in Web of Science</v>
      </c>
      <c r="I5" s="2">
        <v>1</v>
      </c>
      <c r="J5" s="2" t="s">
        <v>17</v>
      </c>
    </row>
    <row r="6" spans="1:10" ht="15.75" x14ac:dyDescent="0.25">
      <c r="A6" s="2" t="s">
        <v>35</v>
      </c>
      <c r="B6" s="2" t="s">
        <v>36</v>
      </c>
      <c r="C6" s="2">
        <v>2023</v>
      </c>
      <c r="D6" s="2" t="s">
        <v>37</v>
      </c>
      <c r="E6" s="2" t="s">
        <v>38</v>
      </c>
      <c r="F6" s="2"/>
      <c r="G6" s="2" t="s">
        <v>39</v>
      </c>
      <c r="H6" s="2" t="s">
        <v>30</v>
      </c>
      <c r="I6" s="2">
        <v>1</v>
      </c>
      <c r="J6" s="2" t="s">
        <v>17</v>
      </c>
    </row>
    <row r="7" spans="1:10" ht="15.75" x14ac:dyDescent="0.25">
      <c r="A7" s="2" t="s">
        <v>40</v>
      </c>
      <c r="B7" s="2" t="s">
        <v>41</v>
      </c>
      <c r="C7" s="2">
        <v>2024</v>
      </c>
      <c r="D7" s="2" t="s">
        <v>42</v>
      </c>
      <c r="E7" s="2" t="s">
        <v>43</v>
      </c>
      <c r="F7" s="2" t="s">
        <v>44</v>
      </c>
      <c r="G7" s="2"/>
      <c r="H7" s="2" t="s">
        <v>29</v>
      </c>
      <c r="I7" s="2">
        <v>1</v>
      </c>
      <c r="J7" s="2" t="s">
        <v>45</v>
      </c>
    </row>
    <row r="8" spans="1:10" ht="15.75" x14ac:dyDescent="0.25">
      <c r="A8" s="2" t="s">
        <v>46</v>
      </c>
      <c r="B8" s="2" t="s">
        <v>47</v>
      </c>
      <c r="C8" s="2">
        <v>2023</v>
      </c>
      <c r="D8" s="2" t="s">
        <v>48</v>
      </c>
      <c r="E8" s="2" t="s">
        <v>49</v>
      </c>
      <c r="F8" s="2" t="s">
        <v>50</v>
      </c>
      <c r="G8" s="2" t="s">
        <v>29</v>
      </c>
      <c r="H8" s="2" t="s">
        <v>30</v>
      </c>
      <c r="I8" s="2">
        <v>1</v>
      </c>
      <c r="J8" s="2" t="s">
        <v>45</v>
      </c>
    </row>
    <row r="9" spans="1:10" ht="15.75" x14ac:dyDescent="0.25">
      <c r="A9" s="4" t="s">
        <v>51</v>
      </c>
      <c r="B9" s="4" t="s">
        <v>52</v>
      </c>
      <c r="C9" s="4">
        <v>2022</v>
      </c>
      <c r="D9" s="4" t="str">
        <f>HYPERLINK("http://dx.doi.org/10.3390/su14010083","http://dx.doi.org/10.3390/su14010083")</f>
        <v>http://dx.doi.org/10.3390/su14010083</v>
      </c>
      <c r="E9" s="4" t="s">
        <v>53</v>
      </c>
      <c r="F9" s="4" t="s">
        <v>54</v>
      </c>
      <c r="G9" s="4" t="s">
        <v>29</v>
      </c>
      <c r="H9" s="4" t="str">
        <f>HYPERLINK("https%3A%2F%2Fwww.webofscience.com%2Fwos%2Fwoscc%2Ffull-record%2F","View Full Record in Web of Science")</f>
        <v>View Full Record in Web of Science</v>
      </c>
      <c r="I9" s="2">
        <v>1</v>
      </c>
      <c r="J9" s="2" t="s">
        <v>45</v>
      </c>
    </row>
    <row r="10" spans="1:10" ht="15.75" x14ac:dyDescent="0.25">
      <c r="A10" s="2" t="s">
        <v>55</v>
      </c>
      <c r="B10" s="2" t="s">
        <v>56</v>
      </c>
      <c r="C10" s="2">
        <v>2025</v>
      </c>
      <c r="D10" s="2" t="s">
        <v>57</v>
      </c>
      <c r="E10" s="2" t="s">
        <v>58</v>
      </c>
      <c r="F10" s="2" t="s">
        <v>59</v>
      </c>
      <c r="G10" s="2" t="s">
        <v>60</v>
      </c>
      <c r="H10" s="2" t="s">
        <v>30</v>
      </c>
      <c r="I10" s="2">
        <v>1</v>
      </c>
      <c r="J10" s="2" t="s">
        <v>45</v>
      </c>
    </row>
    <row r="11" spans="1:10" ht="15.75" x14ac:dyDescent="0.25">
      <c r="A11" s="2" t="s">
        <v>61</v>
      </c>
      <c r="B11" s="2" t="s">
        <v>62</v>
      </c>
      <c r="C11" s="2">
        <v>2025</v>
      </c>
      <c r="D11" s="2" t="s">
        <v>63</v>
      </c>
      <c r="E11" s="2" t="s">
        <v>64</v>
      </c>
      <c r="F11" s="2" t="s">
        <v>65</v>
      </c>
      <c r="G11" s="2" t="s">
        <v>29</v>
      </c>
      <c r="H11" s="2" t="s">
        <v>30</v>
      </c>
      <c r="I11" s="2">
        <v>1</v>
      </c>
      <c r="J11" s="2" t="s">
        <v>45</v>
      </c>
    </row>
    <row r="12" spans="1:10" ht="15.75" x14ac:dyDescent="0.25">
      <c r="A12" s="2" t="s">
        <v>66</v>
      </c>
      <c r="B12" s="2" t="s">
        <v>67</v>
      </c>
      <c r="C12" s="2">
        <v>2024</v>
      </c>
      <c r="D12" s="2" t="s">
        <v>68</v>
      </c>
      <c r="E12" s="2" t="s">
        <v>69</v>
      </c>
      <c r="F12" s="2" t="s">
        <v>70</v>
      </c>
      <c r="G12" s="2" t="s">
        <v>39</v>
      </c>
      <c r="H12" s="2" t="s">
        <v>30</v>
      </c>
      <c r="I12" s="2">
        <v>1</v>
      </c>
      <c r="J12" s="2" t="s">
        <v>45</v>
      </c>
    </row>
    <row r="13" spans="1:10" ht="15.75" x14ac:dyDescent="0.25">
      <c r="A13" s="2" t="s">
        <v>71</v>
      </c>
      <c r="B13" s="2" t="s">
        <v>72</v>
      </c>
      <c r="C13" s="2">
        <v>2025</v>
      </c>
      <c r="D13" s="2" t="s">
        <v>73</v>
      </c>
      <c r="E13" s="2" t="s">
        <v>74</v>
      </c>
      <c r="F13" s="2" t="s">
        <v>75</v>
      </c>
      <c r="G13" s="2" t="s">
        <v>29</v>
      </c>
      <c r="H13" s="2" t="s">
        <v>30</v>
      </c>
      <c r="I13" s="2">
        <v>1</v>
      </c>
      <c r="J13" s="2" t="s">
        <v>45</v>
      </c>
    </row>
    <row r="14" spans="1:10" ht="15.75" x14ac:dyDescent="0.25">
      <c r="A14" s="2" t="s">
        <v>76</v>
      </c>
      <c r="B14" s="2" t="s">
        <v>77</v>
      </c>
      <c r="C14" s="2">
        <v>2022</v>
      </c>
      <c r="D14" s="2" t="s">
        <v>78</v>
      </c>
      <c r="E14" s="2" t="s">
        <v>79</v>
      </c>
      <c r="F14" s="2" t="s">
        <v>80</v>
      </c>
      <c r="G14" s="2" t="s">
        <v>60</v>
      </c>
      <c r="H14" s="2" t="s">
        <v>30</v>
      </c>
      <c r="I14" s="2">
        <v>1</v>
      </c>
      <c r="J14" s="2" t="s">
        <v>45</v>
      </c>
    </row>
    <row r="15" spans="1:10" ht="15.75" x14ac:dyDescent="0.25">
      <c r="A15" s="2" t="s">
        <v>81</v>
      </c>
      <c r="B15" s="2" t="s">
        <v>82</v>
      </c>
      <c r="C15" s="2">
        <v>2020</v>
      </c>
      <c r="D15" s="5" t="s">
        <v>83</v>
      </c>
      <c r="E15" s="2" t="s">
        <v>84</v>
      </c>
      <c r="F15" s="2" t="s">
        <v>85</v>
      </c>
      <c r="G15" s="2" t="s">
        <v>15</v>
      </c>
      <c r="H15" s="2" t="s">
        <v>16</v>
      </c>
      <c r="I15" s="2">
        <v>1</v>
      </c>
      <c r="J15" s="2" t="s">
        <v>86</v>
      </c>
    </row>
    <row r="16" spans="1:10" ht="15.75" x14ac:dyDescent="0.25">
      <c r="A16" s="2" t="s">
        <v>87</v>
      </c>
      <c r="B16" s="2" t="s">
        <v>88</v>
      </c>
      <c r="C16" s="2">
        <v>2023</v>
      </c>
      <c r="D16" s="2" t="s">
        <v>89</v>
      </c>
      <c r="E16" s="2" t="s">
        <v>90</v>
      </c>
      <c r="F16" s="2" t="s">
        <v>91</v>
      </c>
      <c r="G16" s="2" t="s">
        <v>92</v>
      </c>
      <c r="H16" s="2" t="s">
        <v>93</v>
      </c>
      <c r="I16" s="2">
        <v>1</v>
      </c>
      <c r="J16" s="2" t="s">
        <v>86</v>
      </c>
    </row>
    <row r="17" spans="1:10" ht="15.75" x14ac:dyDescent="0.25">
      <c r="A17" s="2" t="s">
        <v>94</v>
      </c>
      <c r="B17" s="2" t="s">
        <v>95</v>
      </c>
      <c r="C17" s="2">
        <v>2022</v>
      </c>
      <c r="D17" s="5" t="s">
        <v>96</v>
      </c>
      <c r="E17" s="2" t="s">
        <v>97</v>
      </c>
      <c r="F17" s="2" t="s">
        <v>98</v>
      </c>
      <c r="G17" s="2" t="s">
        <v>15</v>
      </c>
      <c r="H17" s="2" t="s">
        <v>16</v>
      </c>
      <c r="I17" s="2">
        <v>1</v>
      </c>
      <c r="J17" s="2" t="s">
        <v>86</v>
      </c>
    </row>
    <row r="18" spans="1:10" ht="15.75" x14ac:dyDescent="0.25">
      <c r="A18" s="2" t="s">
        <v>99</v>
      </c>
      <c r="B18" s="2" t="s">
        <v>100</v>
      </c>
      <c r="C18" s="2">
        <v>2023</v>
      </c>
      <c r="D18" s="5" t="s">
        <v>101</v>
      </c>
      <c r="E18" s="2" t="s">
        <v>102</v>
      </c>
      <c r="F18" s="2" t="s">
        <v>103</v>
      </c>
      <c r="G18" s="2" t="s">
        <v>15</v>
      </c>
      <c r="H18" s="2" t="s">
        <v>16</v>
      </c>
      <c r="I18" s="2">
        <v>1</v>
      </c>
      <c r="J18" s="2" t="s">
        <v>86</v>
      </c>
    </row>
    <row r="19" spans="1:10" ht="15.75" x14ac:dyDescent="0.25">
      <c r="A19" s="2" t="s">
        <v>104</v>
      </c>
      <c r="B19" s="2" t="s">
        <v>105</v>
      </c>
      <c r="C19" s="2">
        <v>2025</v>
      </c>
      <c r="D19" s="2" t="s">
        <v>106</v>
      </c>
      <c r="E19" s="2" t="s">
        <v>107</v>
      </c>
      <c r="F19" s="2" t="s">
        <v>108</v>
      </c>
      <c r="G19" s="2" t="s">
        <v>29</v>
      </c>
      <c r="H19" s="2" t="s">
        <v>30</v>
      </c>
      <c r="I19" s="2">
        <v>1</v>
      </c>
      <c r="J19" s="2" t="s">
        <v>86</v>
      </c>
    </row>
    <row r="20" spans="1:10" ht="15.75" x14ac:dyDescent="0.25">
      <c r="A20" s="2" t="s">
        <v>109</v>
      </c>
      <c r="B20" s="2" t="s">
        <v>110</v>
      </c>
      <c r="C20" s="2">
        <v>2025</v>
      </c>
      <c r="D20" s="2" t="s">
        <v>111</v>
      </c>
      <c r="E20" s="2" t="s">
        <v>112</v>
      </c>
      <c r="F20" s="2" t="s">
        <v>113</v>
      </c>
      <c r="G20" s="2" t="s">
        <v>15</v>
      </c>
      <c r="H20" s="2" t="s">
        <v>16</v>
      </c>
      <c r="I20" s="2">
        <v>1</v>
      </c>
      <c r="J20" s="2" t="s">
        <v>86</v>
      </c>
    </row>
    <row r="21" spans="1:10" ht="15.75" x14ac:dyDescent="0.25">
      <c r="A21" s="2" t="s">
        <v>114</v>
      </c>
      <c r="B21" s="2" t="s">
        <v>115</v>
      </c>
      <c r="C21" s="2">
        <v>2021</v>
      </c>
      <c r="D21" s="2" t="s">
        <v>116</v>
      </c>
      <c r="E21" s="2" t="s">
        <v>117</v>
      </c>
      <c r="F21" s="2" t="s">
        <v>118</v>
      </c>
      <c r="G21" s="2" t="s">
        <v>39</v>
      </c>
      <c r="H21" s="2" t="s">
        <v>30</v>
      </c>
      <c r="I21" s="2">
        <v>1</v>
      </c>
      <c r="J21" s="2" t="s">
        <v>86</v>
      </c>
    </row>
    <row r="22" spans="1:10" ht="15.75" x14ac:dyDescent="0.25">
      <c r="A22" s="2" t="s">
        <v>119</v>
      </c>
      <c r="B22" s="2" t="s">
        <v>120</v>
      </c>
      <c r="C22" s="2">
        <v>2025</v>
      </c>
      <c r="D22" s="2" t="s">
        <v>121</v>
      </c>
      <c r="E22" s="3" t="s">
        <v>122</v>
      </c>
      <c r="F22" s="2" t="s">
        <v>123</v>
      </c>
      <c r="G22" s="2"/>
      <c r="H22" s="2" t="s">
        <v>23</v>
      </c>
      <c r="I22" s="2">
        <v>1</v>
      </c>
      <c r="J22" s="2" t="s">
        <v>86</v>
      </c>
    </row>
    <row r="23" spans="1:10" ht="15.75" x14ac:dyDescent="0.25">
      <c r="A23" s="4" t="s">
        <v>124</v>
      </c>
      <c r="B23" s="4" t="s">
        <v>125</v>
      </c>
      <c r="C23" s="4">
        <v>2025</v>
      </c>
      <c r="D23" s="4" t="str">
        <f>HYPERLINK("http://dx.doi.org/10.3390/systems13010021","http://dx.doi.org/10.3390/systems13010021")</f>
        <v>http://dx.doi.org/10.3390/systems13010021</v>
      </c>
      <c r="E23" s="4" t="s">
        <v>126</v>
      </c>
      <c r="F23" s="4" t="s">
        <v>127</v>
      </c>
      <c r="G23" s="4" t="s">
        <v>29</v>
      </c>
      <c r="H23" s="4" t="str">
        <f>HYPERLINK("https%3A%2F%2Fwww.webofscience.com%2Fwos%2Fwoscc%2Ffull-record%2F","View Full Record in Web of Science")</f>
        <v>View Full Record in Web of Science</v>
      </c>
      <c r="I23" s="2">
        <v>1</v>
      </c>
      <c r="J23" s="2" t="s">
        <v>86</v>
      </c>
    </row>
    <row r="24" spans="1:10" ht="15.75" x14ac:dyDescent="0.25">
      <c r="A24" s="2" t="s">
        <v>128</v>
      </c>
      <c r="B24" s="2" t="s">
        <v>129</v>
      </c>
      <c r="C24" s="2">
        <v>2020</v>
      </c>
      <c r="D24" s="2" t="s">
        <v>130</v>
      </c>
      <c r="E24" s="2" t="s">
        <v>131</v>
      </c>
      <c r="F24" s="2" t="s">
        <v>132</v>
      </c>
      <c r="G24" s="2" t="s">
        <v>92</v>
      </c>
      <c r="H24" s="2" t="s">
        <v>93</v>
      </c>
      <c r="I24" s="2">
        <v>1</v>
      </c>
      <c r="J24" s="2" t="s">
        <v>86</v>
      </c>
    </row>
    <row r="25" spans="1:10" ht="15.75" x14ac:dyDescent="0.25">
      <c r="A25" s="2" t="s">
        <v>133</v>
      </c>
      <c r="B25" s="2" t="s">
        <v>134</v>
      </c>
      <c r="C25" s="2">
        <v>2021</v>
      </c>
      <c r="D25" s="2" t="s">
        <v>135</v>
      </c>
      <c r="E25" s="2" t="s">
        <v>136</v>
      </c>
      <c r="F25" s="2" t="s">
        <v>137</v>
      </c>
      <c r="G25" s="2" t="s">
        <v>39</v>
      </c>
      <c r="H25" s="2" t="s">
        <v>30</v>
      </c>
      <c r="I25" s="2">
        <v>1</v>
      </c>
      <c r="J25" s="2" t="s">
        <v>86</v>
      </c>
    </row>
    <row r="26" spans="1:10" ht="15.75" x14ac:dyDescent="0.25">
      <c r="A26" s="4" t="s">
        <v>138</v>
      </c>
      <c r="B26" s="4" t="s">
        <v>139</v>
      </c>
      <c r="C26" s="4">
        <v>2021</v>
      </c>
      <c r="D26" s="4" t="str">
        <f>HYPERLINK("http://dx.doi.org/10.1109/IEEM50564.2021.9673084","http://dx.doi.org/10.1109/IEEM50564.2021.9673084")</f>
        <v>http://dx.doi.org/10.1109/IEEM50564.2021.9673084</v>
      </c>
      <c r="E26" s="4" t="s">
        <v>140</v>
      </c>
      <c r="F26" s="4" t="s">
        <v>141</v>
      </c>
      <c r="G26" s="4" t="s">
        <v>142</v>
      </c>
      <c r="H26" s="4" t="str">
        <f>HYPERLINK("https%3A%2F%2Fwww.webofscience.com%2Fwos%2Fwoscc%2Ffull-record%2F","View Full Record in Web of Science")</f>
        <v>View Full Record in Web of Science</v>
      </c>
      <c r="I26" s="2">
        <v>1</v>
      </c>
      <c r="J26" s="2" t="s">
        <v>143</v>
      </c>
    </row>
    <row r="27" spans="1:10" ht="15.75" x14ac:dyDescent="0.25">
      <c r="A27" s="2" t="s">
        <v>144</v>
      </c>
      <c r="B27" s="2" t="s">
        <v>145</v>
      </c>
      <c r="C27" s="2">
        <v>2022</v>
      </c>
      <c r="D27" s="2" t="s">
        <v>146</v>
      </c>
      <c r="E27" s="2" t="s">
        <v>147</v>
      </c>
      <c r="F27" s="2" t="s">
        <v>148</v>
      </c>
      <c r="G27" s="2" t="s">
        <v>39</v>
      </c>
      <c r="H27" s="2" t="s">
        <v>30</v>
      </c>
      <c r="I27" s="2">
        <v>1</v>
      </c>
      <c r="J27" s="2" t="s">
        <v>143</v>
      </c>
    </row>
    <row r="28" spans="1:10" ht="15.75" x14ac:dyDescent="0.25">
      <c r="A28" s="2" t="s">
        <v>149</v>
      </c>
      <c r="B28" s="2" t="s">
        <v>150</v>
      </c>
      <c r="C28" s="2">
        <v>2024</v>
      </c>
      <c r="D28" s="2" t="s">
        <v>151</v>
      </c>
      <c r="E28" s="2" t="s">
        <v>152</v>
      </c>
      <c r="F28" s="2" t="s">
        <v>153</v>
      </c>
      <c r="G28" s="2" t="s">
        <v>39</v>
      </c>
      <c r="H28" s="2" t="s">
        <v>30</v>
      </c>
      <c r="I28" s="2">
        <v>1</v>
      </c>
      <c r="J28" s="2" t="s">
        <v>143</v>
      </c>
    </row>
    <row r="29" spans="1:10" ht="15.75" x14ac:dyDescent="0.25">
      <c r="A29" s="3" t="s">
        <v>154</v>
      </c>
      <c r="B29" s="2" t="s">
        <v>155</v>
      </c>
      <c r="C29" s="2">
        <v>2024</v>
      </c>
      <c r="D29" s="2" t="s">
        <v>156</v>
      </c>
      <c r="E29" s="3" t="s">
        <v>157</v>
      </c>
      <c r="F29" s="2" t="s">
        <v>158</v>
      </c>
      <c r="G29" s="2"/>
      <c r="H29" s="2" t="s">
        <v>23</v>
      </c>
      <c r="I29" s="2">
        <v>1</v>
      </c>
      <c r="J29" s="2" t="s">
        <v>143</v>
      </c>
    </row>
    <row r="30" spans="1:10" ht="15.75" x14ac:dyDescent="0.25">
      <c r="A30" s="2" t="s">
        <v>159</v>
      </c>
      <c r="B30" s="2" t="s">
        <v>160</v>
      </c>
      <c r="C30" s="2">
        <v>2023</v>
      </c>
      <c r="D30" s="5" t="s">
        <v>161</v>
      </c>
      <c r="E30" s="2" t="s">
        <v>162</v>
      </c>
      <c r="F30" s="2"/>
      <c r="G30" s="2" t="s">
        <v>163</v>
      </c>
      <c r="H30" s="2" t="s">
        <v>16</v>
      </c>
      <c r="I30" s="2">
        <v>1</v>
      </c>
      <c r="J30" s="2" t="s">
        <v>143</v>
      </c>
    </row>
    <row r="31" spans="1:10" ht="15.75" x14ac:dyDescent="0.25">
      <c r="A31" s="2" t="s">
        <v>164</v>
      </c>
      <c r="B31" s="2" t="s">
        <v>165</v>
      </c>
      <c r="C31" s="2">
        <v>2021</v>
      </c>
      <c r="D31" s="2" t="s">
        <v>166</v>
      </c>
      <c r="E31" s="2" t="s">
        <v>167</v>
      </c>
      <c r="F31" s="2" t="s">
        <v>168</v>
      </c>
      <c r="G31" s="2" t="s">
        <v>15</v>
      </c>
      <c r="H31" s="2" t="s">
        <v>16</v>
      </c>
      <c r="I31" s="2">
        <v>1</v>
      </c>
      <c r="J31" s="2" t="s">
        <v>143</v>
      </c>
    </row>
    <row r="32" spans="1:10" ht="15.75" x14ac:dyDescent="0.25">
      <c r="A32" s="2" t="s">
        <v>169</v>
      </c>
      <c r="B32" s="2" t="s">
        <v>170</v>
      </c>
      <c r="C32" s="2">
        <v>2021</v>
      </c>
      <c r="D32" s="2" t="s">
        <v>171</v>
      </c>
      <c r="E32" s="2" t="s">
        <v>172</v>
      </c>
      <c r="F32" s="2" t="s">
        <v>173</v>
      </c>
      <c r="G32" s="2" t="s">
        <v>29</v>
      </c>
      <c r="H32" s="2" t="s">
        <v>30</v>
      </c>
      <c r="I32" s="2">
        <v>1</v>
      </c>
      <c r="J32" s="2" t="s">
        <v>174</v>
      </c>
    </row>
    <row r="33" spans="1:10" ht="15.75" x14ac:dyDescent="0.25">
      <c r="A33" s="2" t="s">
        <v>175</v>
      </c>
      <c r="B33" s="2" t="s">
        <v>176</v>
      </c>
      <c r="C33" s="2">
        <v>2020</v>
      </c>
      <c r="D33" s="2" t="s">
        <v>177</v>
      </c>
      <c r="E33" s="2" t="s">
        <v>178</v>
      </c>
      <c r="F33" s="2" t="s">
        <v>179</v>
      </c>
      <c r="G33" s="2" t="s">
        <v>29</v>
      </c>
      <c r="H33" s="2" t="s">
        <v>30</v>
      </c>
      <c r="I33" s="2">
        <v>1</v>
      </c>
      <c r="J33" s="2" t="s">
        <v>174</v>
      </c>
    </row>
    <row r="34" spans="1:10" ht="15.75" x14ac:dyDescent="0.25">
      <c r="A34" s="2" t="s">
        <v>180</v>
      </c>
      <c r="B34" s="2" t="s">
        <v>181</v>
      </c>
      <c r="C34" s="2">
        <v>2023</v>
      </c>
      <c r="D34" s="2" t="s">
        <v>182</v>
      </c>
      <c r="E34" s="2" t="s">
        <v>183</v>
      </c>
      <c r="F34" s="2" t="s">
        <v>184</v>
      </c>
      <c r="G34" s="2"/>
      <c r="H34" s="2" t="s">
        <v>23</v>
      </c>
      <c r="I34" s="2">
        <v>1</v>
      </c>
      <c r="J34" s="2" t="s">
        <v>174</v>
      </c>
    </row>
    <row r="35" spans="1:10" ht="15.75" x14ac:dyDescent="0.25">
      <c r="A35" s="2" t="s">
        <v>185</v>
      </c>
      <c r="B35" s="2" t="s">
        <v>186</v>
      </c>
      <c r="C35" s="2">
        <v>2024</v>
      </c>
      <c r="D35" s="2" t="s">
        <v>187</v>
      </c>
      <c r="E35" s="2" t="s">
        <v>188</v>
      </c>
      <c r="F35" s="2" t="s">
        <v>189</v>
      </c>
      <c r="G35" s="2"/>
      <c r="H35" s="2" t="s">
        <v>23</v>
      </c>
      <c r="I35" s="2">
        <v>1</v>
      </c>
      <c r="J35" s="2" t="s">
        <v>174</v>
      </c>
    </row>
    <row r="36" spans="1:10" ht="15.75" x14ac:dyDescent="0.25">
      <c r="A36" s="2" t="s">
        <v>190</v>
      </c>
      <c r="B36" s="2" t="s">
        <v>191</v>
      </c>
      <c r="C36" s="2">
        <v>2017</v>
      </c>
      <c r="D36" s="5" t="s">
        <v>192</v>
      </c>
      <c r="E36" s="2" t="s">
        <v>193</v>
      </c>
      <c r="F36" s="2"/>
      <c r="G36" s="2" t="s">
        <v>163</v>
      </c>
      <c r="H36" s="2" t="s">
        <v>16</v>
      </c>
      <c r="I36" s="2">
        <v>1</v>
      </c>
      <c r="J36" s="2" t="s">
        <v>174</v>
      </c>
    </row>
    <row r="37" spans="1:10" ht="15.75" x14ac:dyDescent="0.25">
      <c r="A37" s="2" t="s">
        <v>194</v>
      </c>
      <c r="B37" s="2" t="s">
        <v>195</v>
      </c>
      <c r="C37" s="2">
        <v>2020</v>
      </c>
      <c r="D37" s="2" t="s">
        <v>196</v>
      </c>
      <c r="E37" s="2" t="s">
        <v>197</v>
      </c>
      <c r="F37" s="2" t="s">
        <v>198</v>
      </c>
      <c r="G37" s="2"/>
      <c r="H37" s="2" t="s">
        <v>60</v>
      </c>
      <c r="I37" s="2">
        <v>1</v>
      </c>
      <c r="J37" s="2" t="s">
        <v>60</v>
      </c>
    </row>
    <row r="38" spans="1:10" ht="15.75" x14ac:dyDescent="0.25">
      <c r="A38" s="2" t="s">
        <v>199</v>
      </c>
      <c r="B38" s="2" t="s">
        <v>200</v>
      </c>
      <c r="C38" s="2">
        <v>2022</v>
      </c>
      <c r="D38" s="2" t="s">
        <v>201</v>
      </c>
      <c r="E38" s="2" t="s">
        <v>202</v>
      </c>
      <c r="F38" s="2" t="s">
        <v>203</v>
      </c>
      <c r="G38" s="2" t="s">
        <v>39</v>
      </c>
      <c r="H38" s="2" t="s">
        <v>30</v>
      </c>
      <c r="I38" s="2">
        <v>1</v>
      </c>
      <c r="J38" s="2" t="s">
        <v>60</v>
      </c>
    </row>
    <row r="39" spans="1:10" ht="15.75" x14ac:dyDescent="0.25">
      <c r="A39" s="2" t="s">
        <v>204</v>
      </c>
      <c r="B39" s="2" t="s">
        <v>205</v>
      </c>
      <c r="C39" s="2">
        <v>2022</v>
      </c>
      <c r="D39" s="2" t="s">
        <v>206</v>
      </c>
      <c r="E39" s="2" t="s">
        <v>207</v>
      </c>
      <c r="F39" s="2" t="s">
        <v>208</v>
      </c>
      <c r="G39" s="2" t="s">
        <v>60</v>
      </c>
      <c r="H39" s="2" t="s">
        <v>30</v>
      </c>
      <c r="I39" s="2">
        <v>1</v>
      </c>
      <c r="J39" s="2" t="s">
        <v>60</v>
      </c>
    </row>
    <row r="40" spans="1:10" ht="15.75" x14ac:dyDescent="0.25">
      <c r="A40" s="2" t="s">
        <v>209</v>
      </c>
      <c r="B40" s="2" t="s">
        <v>210</v>
      </c>
      <c r="C40" s="2">
        <v>2024</v>
      </c>
      <c r="D40" s="2" t="s">
        <v>211</v>
      </c>
      <c r="E40" s="2" t="s">
        <v>212</v>
      </c>
      <c r="F40" s="2" t="s">
        <v>213</v>
      </c>
      <c r="G40" s="2" t="s">
        <v>29</v>
      </c>
      <c r="H40" s="2" t="s">
        <v>30</v>
      </c>
      <c r="I40" s="2">
        <v>1</v>
      </c>
      <c r="J40" s="2" t="s">
        <v>60</v>
      </c>
    </row>
    <row r="41" spans="1:10" ht="15.75" x14ac:dyDescent="0.25">
      <c r="A41" s="2" t="s">
        <v>214</v>
      </c>
      <c r="B41" s="2" t="s">
        <v>215</v>
      </c>
      <c r="C41" s="2">
        <v>2021</v>
      </c>
      <c r="D41" s="2" t="s">
        <v>216</v>
      </c>
      <c r="E41" s="2" t="s">
        <v>217</v>
      </c>
      <c r="F41" s="2" t="s">
        <v>218</v>
      </c>
      <c r="G41" s="2" t="s">
        <v>39</v>
      </c>
      <c r="H41" s="2" t="s">
        <v>30</v>
      </c>
      <c r="I41" s="2">
        <v>1</v>
      </c>
      <c r="J41" s="2" t="s">
        <v>60</v>
      </c>
    </row>
    <row r="42" spans="1:10" ht="15.75" x14ac:dyDescent="0.25">
      <c r="A42" s="2" t="s">
        <v>219</v>
      </c>
      <c r="B42" s="2" t="s">
        <v>220</v>
      </c>
      <c r="C42" s="2">
        <v>2024</v>
      </c>
      <c r="D42" s="2" t="s">
        <v>221</v>
      </c>
      <c r="E42" s="2" t="s">
        <v>222</v>
      </c>
      <c r="F42" s="2" t="s">
        <v>223</v>
      </c>
      <c r="G42" s="2" t="s">
        <v>224</v>
      </c>
      <c r="H42" s="2" t="s">
        <v>30</v>
      </c>
      <c r="I42" s="2">
        <v>1</v>
      </c>
      <c r="J42" s="2" t="s">
        <v>225</v>
      </c>
    </row>
    <row r="43" spans="1:10" ht="15.75" x14ac:dyDescent="0.25">
      <c r="A43" s="4" t="s">
        <v>226</v>
      </c>
      <c r="B43" s="4" t="s">
        <v>227</v>
      </c>
      <c r="C43" s="4">
        <v>2025</v>
      </c>
      <c r="D43" s="4" t="str">
        <f>HYPERLINK("http://dx.doi.org/10.1016/j.foodcont.2024.111003","http://dx.doi.org/10.1016/j.foodcont.2024.111003")</f>
        <v>http://dx.doi.org/10.1016/j.foodcont.2024.111003</v>
      </c>
      <c r="E43" s="4" t="s">
        <v>228</v>
      </c>
      <c r="F43" s="4" t="s">
        <v>229</v>
      </c>
      <c r="G43" s="4" t="s">
        <v>60</v>
      </c>
      <c r="H43" s="4" t="str">
        <f>HYPERLINK("https%3A%2F%2Fwww.webofscience.com%2Fwos%2Fwoscc%2Ffull-record%2F","View Full Record in Web of Science")</f>
        <v>View Full Record in Web of Science</v>
      </c>
      <c r="I43" s="2">
        <v>1</v>
      </c>
      <c r="J43" s="2" t="s">
        <v>230</v>
      </c>
    </row>
    <row r="44" spans="1:10" ht="15.75" x14ac:dyDescent="0.25">
      <c r="A44" s="2" t="s">
        <v>231</v>
      </c>
      <c r="B44" s="2" t="s">
        <v>232</v>
      </c>
      <c r="C44" s="2">
        <v>2023</v>
      </c>
      <c r="D44" s="2" t="s">
        <v>233</v>
      </c>
      <c r="E44" s="2" t="s">
        <v>234</v>
      </c>
      <c r="F44" s="2" t="s">
        <v>235</v>
      </c>
      <c r="G44" s="2"/>
      <c r="H44" s="2" t="s">
        <v>23</v>
      </c>
      <c r="I44" s="2">
        <v>1</v>
      </c>
      <c r="J44" s="2" t="s">
        <v>236</v>
      </c>
    </row>
    <row r="45" spans="1:10" ht="15.75" x14ac:dyDescent="0.25">
      <c r="A45" s="2" t="s">
        <v>237</v>
      </c>
      <c r="B45" s="2" t="s">
        <v>238</v>
      </c>
      <c r="C45" s="2">
        <v>2021</v>
      </c>
      <c r="D45" s="2" t="s">
        <v>239</v>
      </c>
      <c r="E45" s="2" t="s">
        <v>240</v>
      </c>
      <c r="F45" s="2" t="s">
        <v>241</v>
      </c>
      <c r="G45" s="2" t="s">
        <v>29</v>
      </c>
      <c r="H45" s="2" t="s">
        <v>30</v>
      </c>
      <c r="I45" s="2">
        <v>1</v>
      </c>
      <c r="J45" s="2" t="s">
        <v>242</v>
      </c>
    </row>
    <row r="46" spans="1:10" ht="15.75" x14ac:dyDescent="0.25">
      <c r="A46" s="2" t="s">
        <v>243</v>
      </c>
      <c r="B46" s="2" t="s">
        <v>244</v>
      </c>
      <c r="C46" s="2">
        <v>2019</v>
      </c>
      <c r="D46" s="2" t="s">
        <v>245</v>
      </c>
      <c r="E46" s="2" t="s">
        <v>246</v>
      </c>
      <c r="F46" s="2" t="s">
        <v>247</v>
      </c>
      <c r="G46" s="2" t="s">
        <v>29</v>
      </c>
      <c r="H46" s="2" t="s">
        <v>30</v>
      </c>
      <c r="I46" s="2">
        <v>1</v>
      </c>
      <c r="J46" s="2" t="s">
        <v>242</v>
      </c>
    </row>
    <row r="47" spans="1:10" ht="15.75" x14ac:dyDescent="0.25">
      <c r="A47" s="2" t="s">
        <v>248</v>
      </c>
      <c r="B47" s="2" t="s">
        <v>249</v>
      </c>
      <c r="C47" s="2">
        <v>2024</v>
      </c>
      <c r="D47" s="2" t="s">
        <v>250</v>
      </c>
      <c r="E47" s="2" t="s">
        <v>251</v>
      </c>
      <c r="F47" s="2" t="s">
        <v>252</v>
      </c>
      <c r="G47" s="2" t="s">
        <v>60</v>
      </c>
      <c r="H47" s="2" t="s">
        <v>30</v>
      </c>
      <c r="I47" s="2">
        <v>1</v>
      </c>
      <c r="J47" s="2" t="s">
        <v>242</v>
      </c>
    </row>
    <row r="48" spans="1:10" ht="15.75" x14ac:dyDescent="0.25">
      <c r="A48" s="2" t="s">
        <v>253</v>
      </c>
      <c r="B48" s="2" t="s">
        <v>254</v>
      </c>
      <c r="C48" s="2">
        <v>2021</v>
      </c>
      <c r="D48" s="2" t="s">
        <v>255</v>
      </c>
      <c r="E48" s="2" t="s">
        <v>256</v>
      </c>
      <c r="F48" s="2" t="s">
        <v>257</v>
      </c>
      <c r="G48" s="2" t="s">
        <v>92</v>
      </c>
      <c r="H48" s="2" t="s">
        <v>93</v>
      </c>
      <c r="I48" s="2">
        <v>1</v>
      </c>
    </row>
    <row r="49" spans="1:10" ht="15.75" x14ac:dyDescent="0.25">
      <c r="A49" s="2" t="s">
        <v>258</v>
      </c>
      <c r="B49" s="2" t="s">
        <v>259</v>
      </c>
      <c r="C49" s="2">
        <v>2024</v>
      </c>
      <c r="D49" s="2" t="s">
        <v>260</v>
      </c>
      <c r="E49" s="2" t="s">
        <v>261</v>
      </c>
      <c r="F49" s="2" t="s">
        <v>262</v>
      </c>
      <c r="G49" s="2" t="s">
        <v>29</v>
      </c>
      <c r="H49" s="2" t="s">
        <v>30</v>
      </c>
      <c r="I49" s="2">
        <v>1</v>
      </c>
      <c r="J49" s="2"/>
    </row>
    <row r="50" spans="1:10" ht="15.75" x14ac:dyDescent="0.25">
      <c r="A50" s="2" t="s">
        <v>263</v>
      </c>
      <c r="B50" s="2" t="s">
        <v>264</v>
      </c>
      <c r="C50" s="2">
        <v>2024</v>
      </c>
      <c r="D50" s="2" t="s">
        <v>265</v>
      </c>
      <c r="E50" s="2" t="s">
        <v>266</v>
      </c>
      <c r="F50" s="2" t="s">
        <v>267</v>
      </c>
      <c r="G50" s="2" t="s">
        <v>29</v>
      </c>
      <c r="H50" s="2" t="s">
        <v>30</v>
      </c>
      <c r="I50" s="2">
        <v>1</v>
      </c>
      <c r="J50" s="2"/>
    </row>
    <row r="51" spans="1:10" ht="15.75" x14ac:dyDescent="0.25">
      <c r="A51" s="2" t="s">
        <v>268</v>
      </c>
      <c r="B51" s="2" t="s">
        <v>269</v>
      </c>
      <c r="C51" s="2">
        <v>2024</v>
      </c>
      <c r="D51" s="5" t="s">
        <v>270</v>
      </c>
      <c r="E51" s="2" t="s">
        <v>271</v>
      </c>
      <c r="F51" s="2"/>
      <c r="G51" s="2" t="s">
        <v>15</v>
      </c>
      <c r="H51" s="2" t="s">
        <v>16</v>
      </c>
      <c r="I51" s="2">
        <v>1</v>
      </c>
      <c r="J51" s="2"/>
    </row>
    <row r="52" spans="1:10" ht="15.75" x14ac:dyDescent="0.25">
      <c r="A52" s="2" t="s">
        <v>272</v>
      </c>
      <c r="B52" s="2" t="s">
        <v>273</v>
      </c>
      <c r="C52" s="2">
        <v>2022</v>
      </c>
      <c r="D52" s="2" t="s">
        <v>274</v>
      </c>
      <c r="E52" s="2" t="s">
        <v>275</v>
      </c>
      <c r="F52" s="2" t="s">
        <v>276</v>
      </c>
      <c r="G52" s="2" t="s">
        <v>29</v>
      </c>
      <c r="H52" s="2" t="s">
        <v>30</v>
      </c>
      <c r="I52" s="2">
        <v>1</v>
      </c>
      <c r="J52" s="2"/>
    </row>
    <row r="53" spans="1:10" ht="15.75" x14ac:dyDescent="0.25">
      <c r="A53" s="2" t="s">
        <v>277</v>
      </c>
      <c r="B53" s="2" t="s">
        <v>278</v>
      </c>
      <c r="C53" s="2">
        <v>2024</v>
      </c>
      <c r="D53" s="5" t="s">
        <v>279</v>
      </c>
      <c r="E53" s="2" t="s">
        <v>280</v>
      </c>
      <c r="F53" s="2" t="s">
        <v>281</v>
      </c>
      <c r="G53" s="2" t="s">
        <v>15</v>
      </c>
      <c r="H53" s="2" t="s">
        <v>16</v>
      </c>
      <c r="I53" s="2">
        <v>1</v>
      </c>
      <c r="J53" s="2"/>
    </row>
    <row r="54" spans="1:10" ht="15.75" x14ac:dyDescent="0.25">
      <c r="A54" s="2" t="s">
        <v>282</v>
      </c>
      <c r="B54" s="2" t="s">
        <v>283</v>
      </c>
      <c r="C54" s="2">
        <v>2025</v>
      </c>
      <c r="D54" s="2" t="s">
        <v>284</v>
      </c>
      <c r="E54" s="2" t="s">
        <v>285</v>
      </c>
      <c r="F54" s="2" t="s">
        <v>286</v>
      </c>
      <c r="G54" s="2" t="s">
        <v>29</v>
      </c>
      <c r="H54" s="2" t="s">
        <v>30</v>
      </c>
      <c r="I54" s="2">
        <v>1</v>
      </c>
      <c r="J54" s="2"/>
    </row>
    <row r="55" spans="1:10" ht="15.75" x14ac:dyDescent="0.25">
      <c r="A55" s="2" t="s">
        <v>287</v>
      </c>
      <c r="B55" s="2" t="s">
        <v>288</v>
      </c>
      <c r="C55" s="2">
        <v>2021</v>
      </c>
      <c r="D55" s="2" t="s">
        <v>289</v>
      </c>
      <c r="E55" s="2" t="s">
        <v>290</v>
      </c>
      <c r="F55" s="2" t="s">
        <v>291</v>
      </c>
      <c r="G55" s="2" t="s">
        <v>29</v>
      </c>
      <c r="H55" s="2" t="s">
        <v>30</v>
      </c>
      <c r="I55" s="2">
        <v>1</v>
      </c>
      <c r="J55" s="2"/>
    </row>
    <row r="56" spans="1:10" ht="15.75" x14ac:dyDescent="0.25">
      <c r="A56" s="2" t="s">
        <v>292</v>
      </c>
      <c r="B56" s="2" t="s">
        <v>293</v>
      </c>
      <c r="C56" s="2">
        <v>2023</v>
      </c>
      <c r="D56" s="2" t="s">
        <v>294</v>
      </c>
      <c r="E56" s="2" t="s">
        <v>295</v>
      </c>
      <c r="F56" s="2" t="s">
        <v>296</v>
      </c>
      <c r="G56" s="2" t="s">
        <v>29</v>
      </c>
      <c r="H56" s="2" t="s">
        <v>30</v>
      </c>
      <c r="I56" s="2">
        <v>1</v>
      </c>
      <c r="J56" s="2"/>
    </row>
    <row r="57" spans="1:10" ht="15.75" x14ac:dyDescent="0.25">
      <c r="A57" s="2" t="s">
        <v>297</v>
      </c>
      <c r="B57" s="2" t="s">
        <v>298</v>
      </c>
      <c r="C57" s="2">
        <v>2024</v>
      </c>
      <c r="D57" s="2" t="s">
        <v>299</v>
      </c>
      <c r="E57" s="2" t="s">
        <v>300</v>
      </c>
      <c r="F57" s="3" t="s">
        <v>301</v>
      </c>
      <c r="G57" s="2"/>
      <c r="H57" s="2" t="s">
        <v>23</v>
      </c>
      <c r="I57" s="2">
        <v>1</v>
      </c>
      <c r="J57" s="2"/>
    </row>
    <row r="58" spans="1:10" ht="15.75" x14ac:dyDescent="0.25">
      <c r="A58" s="4" t="s">
        <v>302</v>
      </c>
      <c r="B58" s="4" t="s">
        <v>303</v>
      </c>
      <c r="C58" s="4">
        <v>2022</v>
      </c>
      <c r="D58" s="4" t="str">
        <f>HYPERLINK("http://dx.doi.org/10.1080/13675567.2020.1825653","http://dx.doi.org/10.1080/13675567.2020.1825653")</f>
        <v>http://dx.doi.org/10.1080/13675567.2020.1825653</v>
      </c>
      <c r="E58" s="4" t="s">
        <v>304</v>
      </c>
      <c r="F58" s="4" t="s">
        <v>305</v>
      </c>
      <c r="G58" s="4" t="s">
        <v>29</v>
      </c>
      <c r="H58" s="4" t="str">
        <f>HYPERLINK("https%3A%2F%2Fwww.webofscience.com%2Fwos%2Fwoscc%2Ffull-record%2F","View Full Record in Web of Science")</f>
        <v>View Full Record in Web of Science</v>
      </c>
      <c r="I58" s="2">
        <v>1</v>
      </c>
      <c r="J58" s="2"/>
    </row>
    <row r="59" spans="1:10" ht="15.75" x14ac:dyDescent="0.25">
      <c r="A59" s="2" t="s">
        <v>306</v>
      </c>
      <c r="B59" s="2" t="s">
        <v>307</v>
      </c>
      <c r="C59" s="2">
        <v>2024</v>
      </c>
      <c r="D59" s="2" t="s">
        <v>308</v>
      </c>
      <c r="E59" s="2" t="s">
        <v>309</v>
      </c>
      <c r="F59" s="2" t="s">
        <v>310</v>
      </c>
      <c r="G59" s="2" t="s">
        <v>29</v>
      </c>
      <c r="H59" s="2" t="s">
        <v>30</v>
      </c>
      <c r="I59" s="2">
        <v>1</v>
      </c>
      <c r="J59" s="2"/>
    </row>
    <row r="60" spans="1:10" ht="15.75" x14ac:dyDescent="0.25">
      <c r="A60" s="2" t="s">
        <v>311</v>
      </c>
      <c r="B60" s="2" t="s">
        <v>312</v>
      </c>
      <c r="C60" s="2">
        <v>2021</v>
      </c>
      <c r="D60" s="2" t="s">
        <v>313</v>
      </c>
      <c r="E60" s="2" t="s">
        <v>314</v>
      </c>
      <c r="F60" s="2" t="s">
        <v>315</v>
      </c>
      <c r="G60" s="2" t="s">
        <v>39</v>
      </c>
      <c r="H60" s="2" t="s">
        <v>30</v>
      </c>
      <c r="I60" s="2">
        <v>1</v>
      </c>
      <c r="J60" s="2"/>
    </row>
    <row r="61" spans="1:10" ht="15.75" x14ac:dyDescent="0.25">
      <c r="A61" s="2" t="s">
        <v>316</v>
      </c>
      <c r="B61" s="2" t="s">
        <v>317</v>
      </c>
      <c r="C61" s="2">
        <v>2019</v>
      </c>
      <c r="D61" s="2" t="s">
        <v>318</v>
      </c>
      <c r="E61" s="2" t="s">
        <v>319</v>
      </c>
      <c r="F61" s="2" t="s">
        <v>320</v>
      </c>
      <c r="G61" s="2" t="s">
        <v>92</v>
      </c>
      <c r="H61" s="2" t="s">
        <v>93</v>
      </c>
      <c r="I61" s="2">
        <v>1</v>
      </c>
      <c r="J61" s="2"/>
    </row>
    <row r="62" spans="1:10" ht="15.75" x14ac:dyDescent="0.25">
      <c r="A62" s="2" t="s">
        <v>321</v>
      </c>
      <c r="B62" s="2" t="s">
        <v>322</v>
      </c>
      <c r="C62" s="2">
        <v>2023</v>
      </c>
      <c r="D62" s="2" t="s">
        <v>323</v>
      </c>
      <c r="E62" s="2" t="s">
        <v>324</v>
      </c>
      <c r="F62" s="2"/>
      <c r="G62" s="2" t="s">
        <v>224</v>
      </c>
      <c r="H62" s="2" t="s">
        <v>30</v>
      </c>
      <c r="I62" s="2">
        <v>1</v>
      </c>
      <c r="J62" s="2"/>
    </row>
    <row r="63" spans="1:10" ht="15.75" x14ac:dyDescent="0.25">
      <c r="A63" s="2" t="s">
        <v>325</v>
      </c>
      <c r="B63" s="2" t="s">
        <v>326</v>
      </c>
      <c r="C63" s="2">
        <v>2024</v>
      </c>
      <c r="D63" s="2" t="s">
        <v>327</v>
      </c>
      <c r="E63" s="2" t="s">
        <v>328</v>
      </c>
      <c r="F63" s="2" t="s">
        <v>329</v>
      </c>
      <c r="G63" s="2" t="s">
        <v>224</v>
      </c>
      <c r="H63" s="2" t="s">
        <v>30</v>
      </c>
      <c r="I63" s="2">
        <v>1</v>
      </c>
      <c r="J63" s="2"/>
    </row>
    <row r="64" spans="1:10" ht="15.75" x14ac:dyDescent="0.25">
      <c r="A64" s="2" t="s">
        <v>330</v>
      </c>
      <c r="B64" s="2" t="s">
        <v>331</v>
      </c>
      <c r="C64" s="2">
        <v>2024</v>
      </c>
      <c r="D64" s="2" t="s">
        <v>332</v>
      </c>
      <c r="E64" s="3" t="s">
        <v>333</v>
      </c>
      <c r="F64" s="2" t="s">
        <v>334</v>
      </c>
      <c r="G64" s="2"/>
      <c r="H64" s="2" t="s">
        <v>23</v>
      </c>
      <c r="I64" s="2">
        <v>1</v>
      </c>
      <c r="J64" s="2"/>
    </row>
    <row r="65" spans="1:10" ht="15.75" x14ac:dyDescent="0.25">
      <c r="A65" s="2" t="s">
        <v>335</v>
      </c>
      <c r="B65" s="2" t="s">
        <v>336</v>
      </c>
      <c r="C65" s="2">
        <v>2022</v>
      </c>
      <c r="D65" s="2" t="s">
        <v>337</v>
      </c>
      <c r="E65" s="2" t="s">
        <v>338</v>
      </c>
      <c r="F65" s="2" t="s">
        <v>339</v>
      </c>
      <c r="G65" s="2" t="s">
        <v>29</v>
      </c>
      <c r="H65" s="2" t="s">
        <v>30</v>
      </c>
      <c r="I65" s="2">
        <v>1</v>
      </c>
      <c r="J65" s="2"/>
    </row>
    <row r="66" spans="1:10" ht="15.75" x14ac:dyDescent="0.25">
      <c r="A66" s="2" t="s">
        <v>340</v>
      </c>
      <c r="B66" s="2" t="s">
        <v>341</v>
      </c>
      <c r="C66" s="2">
        <v>2025</v>
      </c>
      <c r="D66" s="5" t="s">
        <v>342</v>
      </c>
      <c r="E66" s="2" t="s">
        <v>343</v>
      </c>
      <c r="F66" s="2" t="s">
        <v>344</v>
      </c>
      <c r="G66" s="2" t="s">
        <v>163</v>
      </c>
      <c r="H66" s="2" t="s">
        <v>16</v>
      </c>
      <c r="I66" s="2">
        <v>1</v>
      </c>
      <c r="J66" s="2"/>
    </row>
    <row r="67" spans="1:10" ht="15.75" x14ac:dyDescent="0.25">
      <c r="A67" s="4" t="s">
        <v>345</v>
      </c>
      <c r="B67" s="4" t="s">
        <v>346</v>
      </c>
      <c r="C67" s="4">
        <v>2024</v>
      </c>
      <c r="D67" s="4" t="str">
        <f>HYPERLINK("http://dx.doi.org/10.1007/978-3-031-63269-3_17","http://dx.doi.org/10.1007/978-3-031-63269-3_17")</f>
        <v>http://dx.doi.org/10.1007/978-3-031-63269-3_17</v>
      </c>
      <c r="E67" s="4" t="s">
        <v>347</v>
      </c>
      <c r="F67" s="4" t="s">
        <v>348</v>
      </c>
      <c r="G67" s="4" t="s">
        <v>142</v>
      </c>
      <c r="H67" s="4" t="str">
        <f>HYPERLINK("https%3A%2F%2Fwww.webofscience.com%2Fwos%2Fwoscc%2Ffull-record%2F","View Full Record in Web of Science")</f>
        <v>View Full Record in Web of Science</v>
      </c>
      <c r="I67" s="2">
        <v>1</v>
      </c>
      <c r="J67" s="2"/>
    </row>
    <row r="68" spans="1:10" ht="15.75" x14ac:dyDescent="0.25">
      <c r="A68" s="2" t="s">
        <v>349</v>
      </c>
      <c r="B68" s="2" t="s">
        <v>350</v>
      </c>
      <c r="C68" s="2">
        <v>2023</v>
      </c>
      <c r="D68" s="5" t="s">
        <v>351</v>
      </c>
      <c r="E68" s="2" t="s">
        <v>352</v>
      </c>
      <c r="F68" s="2" t="s">
        <v>353</v>
      </c>
      <c r="G68" s="2" t="s">
        <v>15</v>
      </c>
      <c r="H68" s="2" t="s">
        <v>16</v>
      </c>
      <c r="I68" s="2">
        <v>1</v>
      </c>
      <c r="J68" s="2"/>
    </row>
    <row r="69" spans="1:10" ht="15.75" x14ac:dyDescent="0.25">
      <c r="A69" s="2" t="s">
        <v>354</v>
      </c>
      <c r="B69" s="2" t="s">
        <v>355</v>
      </c>
      <c r="C69" s="2">
        <v>2025</v>
      </c>
      <c r="D69" s="2" t="s">
        <v>356</v>
      </c>
      <c r="E69" s="2" t="s">
        <v>357</v>
      </c>
      <c r="F69" s="2" t="s">
        <v>358</v>
      </c>
      <c r="G69" s="2"/>
      <c r="H69" s="2" t="s">
        <v>23</v>
      </c>
      <c r="I69" s="2">
        <v>1</v>
      </c>
      <c r="J69" s="2"/>
    </row>
    <row r="70" spans="1:10" ht="15.75" x14ac:dyDescent="0.25">
      <c r="A70" s="4" t="s">
        <v>359</v>
      </c>
      <c r="B70" s="4" t="s">
        <v>360</v>
      </c>
      <c r="C70" s="4">
        <v>2021</v>
      </c>
      <c r="D70" s="4" t="str">
        <f>HYPERLINK("http://dx.doi.org/10.1186/s40537-020-00405-7","http://dx.doi.org/10.1186/s40537-020-00405-7")</f>
        <v>http://dx.doi.org/10.1186/s40537-020-00405-7</v>
      </c>
      <c r="E70" s="4" t="s">
        <v>361</v>
      </c>
      <c r="F70" s="4" t="s">
        <v>362</v>
      </c>
      <c r="G70" s="4" t="s">
        <v>29</v>
      </c>
      <c r="H70" s="4" t="str">
        <f>HYPERLINK("https%3A%2F%2Fwww.webofscience.com%2Fwos%2Fwoscc%2Ffull-record%2F","View Full Record in Web of Science")</f>
        <v>View Full Record in Web of Science</v>
      </c>
      <c r="I70" s="2">
        <v>1</v>
      </c>
      <c r="J70" s="2"/>
    </row>
    <row r="71" spans="1:10" ht="15.75" x14ac:dyDescent="0.25">
      <c r="A71" s="2" t="s">
        <v>363</v>
      </c>
      <c r="B71" s="2" t="s">
        <v>364</v>
      </c>
      <c r="C71" s="2">
        <v>2020</v>
      </c>
      <c r="D71" s="2" t="s">
        <v>365</v>
      </c>
      <c r="E71" s="2" t="s">
        <v>366</v>
      </c>
      <c r="F71" s="2" t="s">
        <v>367</v>
      </c>
      <c r="G71" s="2" t="s">
        <v>15</v>
      </c>
      <c r="H71" s="2" t="s">
        <v>16</v>
      </c>
      <c r="I71" s="2">
        <v>1</v>
      </c>
      <c r="J71" s="2"/>
    </row>
    <row r="72" spans="1:10" ht="15.75" x14ac:dyDescent="0.25">
      <c r="A72" s="2" t="s">
        <v>368</v>
      </c>
      <c r="B72" s="2" t="s">
        <v>369</v>
      </c>
      <c r="C72" s="2">
        <v>2023</v>
      </c>
      <c r="D72" s="2" t="s">
        <v>370</v>
      </c>
      <c r="E72" s="2" t="s">
        <v>371</v>
      </c>
      <c r="F72" s="2" t="s">
        <v>372</v>
      </c>
      <c r="G72" s="2" t="s">
        <v>29</v>
      </c>
      <c r="H72" s="2" t="s">
        <v>30</v>
      </c>
      <c r="I72" s="2">
        <v>1</v>
      </c>
      <c r="J72" s="2"/>
    </row>
    <row r="73" spans="1:10" ht="15.75" x14ac:dyDescent="0.25">
      <c r="A73" s="2" t="s">
        <v>373</v>
      </c>
      <c r="B73" s="2" t="s">
        <v>374</v>
      </c>
      <c r="C73" s="2">
        <v>2025</v>
      </c>
      <c r="D73" s="2" t="s">
        <v>375</v>
      </c>
      <c r="E73" s="2" t="s">
        <v>376</v>
      </c>
      <c r="F73" s="2" t="s">
        <v>377</v>
      </c>
      <c r="G73" s="2" t="s">
        <v>224</v>
      </c>
      <c r="H73" s="2" t="s">
        <v>30</v>
      </c>
      <c r="I73" s="2">
        <v>1</v>
      </c>
      <c r="J73" s="2"/>
    </row>
    <row r="74" spans="1:10" ht="15.75" x14ac:dyDescent="0.25">
      <c r="A74" s="2" t="s">
        <v>378</v>
      </c>
      <c r="B74" s="2" t="s">
        <v>379</v>
      </c>
      <c r="C74" s="2">
        <v>2023</v>
      </c>
      <c r="D74" s="2" t="s">
        <v>380</v>
      </c>
      <c r="E74" s="2" t="s">
        <v>381</v>
      </c>
      <c r="F74" s="2" t="s">
        <v>382</v>
      </c>
      <c r="G74" s="2" t="s">
        <v>39</v>
      </c>
      <c r="H74" s="2" t="s">
        <v>30</v>
      </c>
      <c r="I74" s="2">
        <v>1</v>
      </c>
      <c r="J74" s="2"/>
    </row>
    <row r="75" spans="1:10" ht="15.75" x14ac:dyDescent="0.25">
      <c r="A75" s="2" t="s">
        <v>383</v>
      </c>
      <c r="B75" s="2" t="s">
        <v>384</v>
      </c>
      <c r="C75" s="2">
        <v>2024</v>
      </c>
      <c r="D75" s="2" t="s">
        <v>385</v>
      </c>
      <c r="E75" s="2" t="s">
        <v>386</v>
      </c>
      <c r="F75" s="2" t="s">
        <v>387</v>
      </c>
      <c r="G75" s="2" t="s">
        <v>29</v>
      </c>
      <c r="H75" s="2" t="s">
        <v>30</v>
      </c>
      <c r="I75" s="2">
        <v>1</v>
      </c>
      <c r="J75" s="2"/>
    </row>
    <row r="76" spans="1:10" ht="15.75" x14ac:dyDescent="0.25">
      <c r="A76" s="2" t="s">
        <v>388</v>
      </c>
      <c r="B76" s="2" t="s">
        <v>389</v>
      </c>
      <c r="C76" s="2">
        <v>2022</v>
      </c>
      <c r="D76" s="2" t="s">
        <v>390</v>
      </c>
      <c r="E76" s="2" t="s">
        <v>391</v>
      </c>
      <c r="F76" s="2" t="s">
        <v>392</v>
      </c>
      <c r="G76" s="2" t="s">
        <v>29</v>
      </c>
      <c r="H76" s="2" t="s">
        <v>30</v>
      </c>
      <c r="I76" s="2">
        <v>1</v>
      </c>
      <c r="J76" s="2"/>
    </row>
    <row r="77" spans="1:10" ht="15.75" x14ac:dyDescent="0.25">
      <c r="A77" s="2" t="s">
        <v>393</v>
      </c>
      <c r="B77" s="2" t="s">
        <v>394</v>
      </c>
      <c r="C77" s="2">
        <v>2024</v>
      </c>
      <c r="D77" s="2" t="s">
        <v>395</v>
      </c>
      <c r="E77" s="2" t="s">
        <v>396</v>
      </c>
      <c r="F77" s="2" t="s">
        <v>397</v>
      </c>
      <c r="G77" s="2" t="s">
        <v>29</v>
      </c>
      <c r="H77" s="2" t="s">
        <v>30</v>
      </c>
      <c r="I77" s="2">
        <v>1</v>
      </c>
      <c r="J77" s="2"/>
    </row>
    <row r="78" spans="1:10" ht="15.75" x14ac:dyDescent="0.25">
      <c r="A78" s="2" t="s">
        <v>398</v>
      </c>
      <c r="B78" s="2" t="s">
        <v>399</v>
      </c>
      <c r="C78" s="2">
        <v>2022</v>
      </c>
      <c r="D78" s="2" t="s">
        <v>400</v>
      </c>
      <c r="E78" s="2" t="s">
        <v>401</v>
      </c>
      <c r="F78" s="2" t="s">
        <v>402</v>
      </c>
      <c r="G78" s="2" t="s">
        <v>29</v>
      </c>
      <c r="H78" s="2" t="s">
        <v>30</v>
      </c>
      <c r="I78" s="2">
        <v>1</v>
      </c>
      <c r="J78" s="2"/>
    </row>
    <row r="79" spans="1:10" ht="15.75" x14ac:dyDescent="0.25">
      <c r="A79" s="2" t="s">
        <v>403</v>
      </c>
      <c r="B79" s="2" t="s">
        <v>404</v>
      </c>
      <c r="C79" s="2">
        <v>2024</v>
      </c>
      <c r="D79" s="2" t="s">
        <v>405</v>
      </c>
      <c r="E79" s="2" t="s">
        <v>406</v>
      </c>
      <c r="F79" s="2" t="s">
        <v>407</v>
      </c>
      <c r="G79" s="2" t="s">
        <v>39</v>
      </c>
      <c r="H79" s="2" t="s">
        <v>30</v>
      </c>
      <c r="I79" s="2">
        <v>1</v>
      </c>
      <c r="J79" s="2"/>
    </row>
    <row r="80" spans="1:10" ht="15.75" x14ac:dyDescent="0.25">
      <c r="A80" s="2" t="s">
        <v>408</v>
      </c>
      <c r="B80" s="2" t="s">
        <v>409</v>
      </c>
      <c r="C80" s="2">
        <v>2018</v>
      </c>
      <c r="D80" s="5" t="s">
        <v>410</v>
      </c>
      <c r="E80" s="2" t="s">
        <v>411</v>
      </c>
      <c r="F80" s="2" t="s">
        <v>412</v>
      </c>
      <c r="G80" s="2" t="s">
        <v>15</v>
      </c>
      <c r="H80" s="2" t="s">
        <v>16</v>
      </c>
      <c r="I80" s="2">
        <v>1</v>
      </c>
      <c r="J80" s="2"/>
    </row>
    <row r="81" spans="1:10" ht="15.75" x14ac:dyDescent="0.25">
      <c r="A81" s="2" t="s">
        <v>413</v>
      </c>
      <c r="B81" s="2" t="s">
        <v>414</v>
      </c>
      <c r="C81" s="2">
        <v>2022</v>
      </c>
      <c r="D81" s="5" t="s">
        <v>415</v>
      </c>
      <c r="E81" s="2" t="s">
        <v>416</v>
      </c>
      <c r="F81" s="2" t="s">
        <v>417</v>
      </c>
      <c r="G81" s="2" t="s">
        <v>15</v>
      </c>
      <c r="H81" s="2" t="s">
        <v>16</v>
      </c>
      <c r="I81" s="2">
        <v>1</v>
      </c>
      <c r="J81" s="2"/>
    </row>
    <row r="82" spans="1:10" ht="15.75" x14ac:dyDescent="0.25">
      <c r="A82" s="2" t="s">
        <v>418</v>
      </c>
      <c r="B82" s="2" t="s">
        <v>419</v>
      </c>
      <c r="C82" s="2">
        <v>2024</v>
      </c>
      <c r="D82" s="2" t="s">
        <v>420</v>
      </c>
      <c r="E82" s="2" t="s">
        <v>421</v>
      </c>
      <c r="F82" s="2"/>
      <c r="G82" s="2" t="s">
        <v>39</v>
      </c>
      <c r="H82" s="2" t="s">
        <v>30</v>
      </c>
      <c r="I82" s="2">
        <v>1</v>
      </c>
      <c r="J82" s="2"/>
    </row>
    <row r="83" spans="1:10" ht="15.75" x14ac:dyDescent="0.25">
      <c r="A83" s="2" t="s">
        <v>422</v>
      </c>
      <c r="B83" s="2" t="s">
        <v>423</v>
      </c>
      <c r="C83" s="2">
        <v>2020</v>
      </c>
      <c r="D83" s="2" t="s">
        <v>424</v>
      </c>
      <c r="E83" s="2" t="s">
        <v>425</v>
      </c>
      <c r="F83" s="2" t="s">
        <v>426</v>
      </c>
      <c r="G83" s="2"/>
      <c r="H83" s="2" t="s">
        <v>29</v>
      </c>
      <c r="I83" s="2">
        <v>1</v>
      </c>
      <c r="J83" s="2"/>
    </row>
    <row r="84" spans="1:10" ht="15.75" x14ac:dyDescent="0.25">
      <c r="A84" s="4" t="s">
        <v>427</v>
      </c>
      <c r="B84" s="4" t="s">
        <v>428</v>
      </c>
      <c r="C84" s="4">
        <v>2021</v>
      </c>
      <c r="D84" s="4" t="str">
        <f>HYPERLINK("http://dx.doi.org/10.3389/fbloc.2021.612898","http://dx.doi.org/10.3389/fbloc.2021.612898")</f>
        <v>http://dx.doi.org/10.3389/fbloc.2021.612898</v>
      </c>
      <c r="E84" s="4" t="s">
        <v>429</v>
      </c>
      <c r="F84" s="4" t="s">
        <v>430</v>
      </c>
      <c r="G84" s="4" t="s">
        <v>29</v>
      </c>
      <c r="H84" s="4" t="str">
        <f>HYPERLINK("https%3A%2F%2Fwww.webofscience.com%2Fwos%2Fwoscc%2Ffull-record%2F","View Full Record in Web of Science")</f>
        <v>View Full Record in Web of Science</v>
      </c>
      <c r="I84" s="2">
        <v>1</v>
      </c>
      <c r="J84" s="2"/>
    </row>
    <row r="85" spans="1:10" ht="15.75" x14ac:dyDescent="0.25">
      <c r="A85" s="4" t="s">
        <v>431</v>
      </c>
      <c r="B85" s="4" t="s">
        <v>432</v>
      </c>
      <c r="C85" s="4">
        <v>2025</v>
      </c>
      <c r="D85" s="4" t="str">
        <f>HYPERLINK("http://dx.doi.org/10.3390/foods14071135","http://dx.doi.org/10.3390/foods14071135")</f>
        <v>http://dx.doi.org/10.3390/foods14071135</v>
      </c>
      <c r="E85" s="4" t="s">
        <v>433</v>
      </c>
      <c r="F85" s="4" t="s">
        <v>434</v>
      </c>
      <c r="G85" s="4" t="s">
        <v>60</v>
      </c>
      <c r="H85" s="4" t="str">
        <f>HYPERLINK("https%3A%2F%2Fwww.webofscience.com%2Fwos%2Fwoscc%2Ffull-record%2F","View Full Record in Web of Science")</f>
        <v>View Full Record in Web of Science</v>
      </c>
      <c r="I85" s="2">
        <v>1</v>
      </c>
      <c r="J85" s="2"/>
    </row>
    <row r="86" spans="1:10" ht="15.75" x14ac:dyDescent="0.25">
      <c r="A86" s="4" t="s">
        <v>435</v>
      </c>
      <c r="B86" s="4" t="s">
        <v>436</v>
      </c>
      <c r="C86" s="4">
        <v>2024</v>
      </c>
      <c r="D86" s="4" t="str">
        <f>HYPERLINK("http://dx.doi.org/10.1108/JIMA-03-2023-0069","http://dx.doi.org/10.1108/JIMA-03-2023-0069")</f>
        <v>http://dx.doi.org/10.1108/JIMA-03-2023-0069</v>
      </c>
      <c r="E86" s="4" t="s">
        <v>437</v>
      </c>
      <c r="F86" s="4" t="s">
        <v>438</v>
      </c>
      <c r="G86" s="4" t="s">
        <v>29</v>
      </c>
      <c r="H86" s="4" t="str">
        <f>HYPERLINK("https%3A%2F%2Fwww.webofscience.com%2Fwos%2Fwoscc%2Ffull-record%2F","View Full Record in Web of Science")</f>
        <v>View Full Record in Web of Science</v>
      </c>
      <c r="I86" s="2">
        <v>1</v>
      </c>
      <c r="J86" s="2"/>
    </row>
    <row r="87" spans="1:10" ht="15.75" x14ac:dyDescent="0.25">
      <c r="A87" s="2" t="s">
        <v>439</v>
      </c>
      <c r="B87" s="2" t="s">
        <v>440</v>
      </c>
      <c r="C87" s="2">
        <v>2018</v>
      </c>
      <c r="D87" s="2" t="s">
        <v>441</v>
      </c>
      <c r="E87" s="2" t="s">
        <v>442</v>
      </c>
      <c r="F87" s="6" t="s">
        <v>443</v>
      </c>
      <c r="G87" s="2" t="s">
        <v>163</v>
      </c>
      <c r="H87" s="2" t="s">
        <v>16</v>
      </c>
      <c r="I87" s="2">
        <v>1</v>
      </c>
      <c r="J87" s="2"/>
    </row>
    <row r="88" spans="1:10" ht="15.75" x14ac:dyDescent="0.25">
      <c r="A88" s="4" t="s">
        <v>444</v>
      </c>
      <c r="B88" s="4" t="s">
        <v>445</v>
      </c>
      <c r="C88" s="4">
        <v>2023</v>
      </c>
      <c r="D88" s="4" t="str">
        <f>HYPERLINK("http://dx.doi.org/10.1007/s11042-023-17474-4","http://dx.doi.org/10.1007/s11042-023-17474-4")</f>
        <v>http://dx.doi.org/10.1007/s11042-023-17474-4</v>
      </c>
      <c r="E88" s="4" t="s">
        <v>446</v>
      </c>
      <c r="F88" s="4" t="s">
        <v>447</v>
      </c>
      <c r="G88" s="4" t="s">
        <v>448</v>
      </c>
      <c r="H88" s="4" t="str">
        <f>HYPERLINK("https%3A%2F%2Fwww.webofscience.com%2Fwos%2Fwoscc%2Ffull-record%2F","View Full Record in Web of Science")</f>
        <v>View Full Record in Web of Science</v>
      </c>
      <c r="I88" s="2">
        <v>1</v>
      </c>
      <c r="J88" s="2"/>
    </row>
    <row r="89" spans="1:10" ht="15.75" x14ac:dyDescent="0.25">
      <c r="A89" s="2" t="s">
        <v>449</v>
      </c>
      <c r="B89" s="2" t="s">
        <v>450</v>
      </c>
      <c r="C89" s="2">
        <v>2023</v>
      </c>
      <c r="D89" s="2" t="s">
        <v>451</v>
      </c>
      <c r="E89" s="2" t="s">
        <v>452</v>
      </c>
      <c r="F89" s="2" t="s">
        <v>453</v>
      </c>
      <c r="G89" s="2" t="s">
        <v>29</v>
      </c>
      <c r="H89" s="2" t="s">
        <v>30</v>
      </c>
      <c r="I89" s="2">
        <v>1</v>
      </c>
      <c r="J89" s="2"/>
    </row>
    <row r="90" spans="1:10" ht="15.75" x14ac:dyDescent="0.25">
      <c r="A90" s="4" t="s">
        <v>454</v>
      </c>
      <c r="B90" s="4" t="s">
        <v>455</v>
      </c>
      <c r="C90" s="4">
        <v>2019</v>
      </c>
      <c r="D90" s="4" t="str">
        <f>HYPERLINK("http://dx.doi.org/10.1007/978-3-030-23381-5_9","http://dx.doi.org/10.1007/978-3-030-23381-5_9")</f>
        <v>http://dx.doi.org/10.1007/978-3-030-23381-5_9</v>
      </c>
      <c r="E90" s="4" t="s">
        <v>456</v>
      </c>
      <c r="F90" s="4" t="s">
        <v>457</v>
      </c>
      <c r="G90" s="4" t="s">
        <v>142</v>
      </c>
      <c r="H90" s="4" t="str">
        <f>HYPERLINK("https%3A%2F%2Fwww.webofscience.com%2Fwos%2Fwoscc%2Ffull-record%2F","View Full Record in Web of Science")</f>
        <v>View Full Record in Web of Science</v>
      </c>
      <c r="I90" s="2">
        <v>1</v>
      </c>
      <c r="J90" s="2"/>
    </row>
    <row r="91" spans="1:10" ht="15.75" x14ac:dyDescent="0.25">
      <c r="A91" s="7" t="s">
        <v>458</v>
      </c>
      <c r="B91" s="7" t="s">
        <v>459</v>
      </c>
      <c r="C91" s="7">
        <v>2023</v>
      </c>
      <c r="D91" s="8" t="s">
        <v>460</v>
      </c>
      <c r="E91" s="7" t="s">
        <v>461</v>
      </c>
      <c r="F91" s="7" t="s">
        <v>462</v>
      </c>
      <c r="G91" s="7" t="s">
        <v>163</v>
      </c>
      <c r="H91" s="7" t="s">
        <v>463</v>
      </c>
      <c r="I91" s="2">
        <v>1</v>
      </c>
      <c r="J91" s="7"/>
    </row>
    <row r="92" spans="1:10" ht="15.75" x14ac:dyDescent="0.25">
      <c r="A92" s="7" t="s">
        <v>464</v>
      </c>
      <c r="B92" s="7" t="s">
        <v>465</v>
      </c>
      <c r="C92" s="7">
        <v>2024</v>
      </c>
      <c r="D92" s="8" t="s">
        <v>466</v>
      </c>
      <c r="E92" s="7" t="s">
        <v>467</v>
      </c>
      <c r="F92" s="7" t="s">
        <v>113</v>
      </c>
      <c r="G92" s="7" t="s">
        <v>468</v>
      </c>
      <c r="H92" s="7" t="s">
        <v>469</v>
      </c>
      <c r="I92" s="2">
        <v>1</v>
      </c>
      <c r="J92" s="7"/>
    </row>
    <row r="93" spans="1:10" ht="15.75" x14ac:dyDescent="0.25">
      <c r="A93" s="7" t="s">
        <v>470</v>
      </c>
      <c r="B93" s="7" t="s">
        <v>471</v>
      </c>
      <c r="C93" s="7">
        <v>2023</v>
      </c>
      <c r="D93" s="8" t="s">
        <v>472</v>
      </c>
      <c r="E93" s="7" t="s">
        <v>473</v>
      </c>
      <c r="F93" s="7" t="s">
        <v>474</v>
      </c>
      <c r="G93" s="7" t="s">
        <v>475</v>
      </c>
      <c r="H93" s="7" t="s">
        <v>476</v>
      </c>
      <c r="I93" s="2">
        <v>1</v>
      </c>
      <c r="J93" s="7"/>
    </row>
    <row r="94" spans="1:10" ht="15.75" x14ac:dyDescent="0.25">
      <c r="A94" s="7" t="s">
        <v>477</v>
      </c>
      <c r="B94" s="7" t="s">
        <v>478</v>
      </c>
      <c r="C94" s="7">
        <v>2022</v>
      </c>
      <c r="D94" s="7" t="s">
        <v>479</v>
      </c>
      <c r="E94" s="7" t="s">
        <v>480</v>
      </c>
      <c r="F94" s="7" t="s">
        <v>481</v>
      </c>
      <c r="G94" s="7" t="s">
        <v>475</v>
      </c>
      <c r="H94" s="7" t="s">
        <v>482</v>
      </c>
      <c r="I94" s="2">
        <v>1</v>
      </c>
      <c r="J94" s="7"/>
    </row>
    <row r="95" spans="1:10" ht="15.75" x14ac:dyDescent="0.25">
      <c r="A95" s="7" t="s">
        <v>483</v>
      </c>
      <c r="B95" s="7" t="s">
        <v>484</v>
      </c>
      <c r="C95" s="7">
        <v>2023</v>
      </c>
      <c r="D95" s="8" t="s">
        <v>485</v>
      </c>
      <c r="E95" s="7" t="s">
        <v>486</v>
      </c>
      <c r="F95" s="7" t="s">
        <v>487</v>
      </c>
      <c r="G95" s="7" t="s">
        <v>468</v>
      </c>
      <c r="H95" s="7" t="s">
        <v>488</v>
      </c>
      <c r="I95" s="2">
        <v>1</v>
      </c>
      <c r="J95" s="7"/>
    </row>
    <row r="96" spans="1:10" ht="15.75" x14ac:dyDescent="0.25">
      <c r="A96" s="7" t="s">
        <v>489</v>
      </c>
      <c r="B96" s="7" t="s">
        <v>490</v>
      </c>
      <c r="C96" s="7">
        <v>2020</v>
      </c>
      <c r="D96" s="8" t="s">
        <v>491</v>
      </c>
      <c r="E96" s="7" t="s">
        <v>492</v>
      </c>
      <c r="F96" s="7" t="s">
        <v>493</v>
      </c>
      <c r="G96" s="7" t="s">
        <v>494</v>
      </c>
      <c r="H96" s="7" t="s">
        <v>495</v>
      </c>
      <c r="I96" s="2">
        <v>1</v>
      </c>
      <c r="J96" s="7"/>
    </row>
    <row r="97" spans="1:10" ht="15.75" x14ac:dyDescent="0.25">
      <c r="A97" s="7" t="s">
        <v>496</v>
      </c>
      <c r="B97" s="7" t="s">
        <v>497</v>
      </c>
      <c r="C97" s="7">
        <v>2025</v>
      </c>
      <c r="D97" s="8" t="s">
        <v>498</v>
      </c>
      <c r="E97" s="7" t="s">
        <v>499</v>
      </c>
      <c r="F97" s="7" t="s">
        <v>500</v>
      </c>
      <c r="G97" s="7" t="s">
        <v>501</v>
      </c>
      <c r="H97" s="7" t="s">
        <v>502</v>
      </c>
      <c r="I97" s="2">
        <v>1</v>
      </c>
      <c r="J97" s="7"/>
    </row>
    <row r="98" spans="1:10" ht="15.75" x14ac:dyDescent="0.25">
      <c r="A98" s="7" t="s">
        <v>503</v>
      </c>
      <c r="B98" s="7" t="s">
        <v>504</v>
      </c>
      <c r="C98" s="7">
        <v>2024</v>
      </c>
      <c r="D98" s="7" t="s">
        <v>505</v>
      </c>
      <c r="E98" s="7" t="s">
        <v>506</v>
      </c>
      <c r="F98" s="7" t="s">
        <v>507</v>
      </c>
      <c r="G98" s="7" t="s">
        <v>501</v>
      </c>
      <c r="H98" s="7" t="s">
        <v>508</v>
      </c>
      <c r="I98" s="2">
        <v>1</v>
      </c>
      <c r="J98" s="7"/>
    </row>
    <row r="99" spans="1:10" ht="15.75" x14ac:dyDescent="0.25">
      <c r="A99" s="7" t="s">
        <v>509</v>
      </c>
      <c r="B99" s="7" t="s">
        <v>510</v>
      </c>
      <c r="C99" s="7">
        <v>2022</v>
      </c>
      <c r="D99" s="8" t="s">
        <v>511</v>
      </c>
      <c r="E99" s="7" t="s">
        <v>512</v>
      </c>
      <c r="F99" s="7" t="s">
        <v>513</v>
      </c>
      <c r="G99" s="7" t="s">
        <v>501</v>
      </c>
      <c r="H99" s="7" t="s">
        <v>514</v>
      </c>
      <c r="I99" s="2">
        <v>1</v>
      </c>
      <c r="J99" s="7"/>
    </row>
    <row r="100" spans="1:10" ht="15.75" x14ac:dyDescent="0.25">
      <c r="A100" s="7" t="s">
        <v>515</v>
      </c>
      <c r="B100" s="7" t="s">
        <v>516</v>
      </c>
      <c r="C100" s="7">
        <v>2024</v>
      </c>
      <c r="D100" s="8" t="s">
        <v>517</v>
      </c>
      <c r="E100" s="7" t="s">
        <v>518</v>
      </c>
      <c r="F100" s="7" t="s">
        <v>519</v>
      </c>
      <c r="G100" s="7" t="s">
        <v>520</v>
      </c>
      <c r="H100" s="7" t="s">
        <v>521</v>
      </c>
      <c r="I100" s="2">
        <v>1</v>
      </c>
      <c r="J100" s="7"/>
    </row>
    <row r="101" spans="1:10" ht="15.75" x14ac:dyDescent="0.25">
      <c r="A101" s="7" t="s">
        <v>522</v>
      </c>
      <c r="B101" s="7" t="s">
        <v>523</v>
      </c>
      <c r="C101" s="7">
        <v>2024</v>
      </c>
      <c r="D101" s="7" t="s">
        <v>524</v>
      </c>
      <c r="E101" s="7" t="s">
        <v>525</v>
      </c>
      <c r="F101" s="7"/>
      <c r="G101" s="7" t="s">
        <v>526</v>
      </c>
      <c r="H101" s="7" t="s">
        <v>527</v>
      </c>
      <c r="I101" s="2">
        <v>1</v>
      </c>
      <c r="J101" s="7"/>
    </row>
    <row r="102" spans="1:10" ht="15.75" x14ac:dyDescent="0.25">
      <c r="A102" s="7" t="s">
        <v>528</v>
      </c>
      <c r="B102" s="7" t="s">
        <v>529</v>
      </c>
      <c r="C102" s="7">
        <v>2021</v>
      </c>
      <c r="D102" s="7" t="s">
        <v>530</v>
      </c>
      <c r="E102" s="7" t="s">
        <v>531</v>
      </c>
      <c r="F102" s="7" t="s">
        <v>532</v>
      </c>
      <c r="G102" s="7" t="s">
        <v>520</v>
      </c>
      <c r="H102" s="7" t="s">
        <v>533</v>
      </c>
      <c r="I102" s="2">
        <v>1</v>
      </c>
      <c r="J102" s="7"/>
    </row>
    <row r="103" spans="1:10" ht="15.75" x14ac:dyDescent="0.25">
      <c r="A103" s="7" t="s">
        <v>534</v>
      </c>
      <c r="B103" s="7" t="s">
        <v>535</v>
      </c>
      <c r="C103" s="7">
        <v>2024</v>
      </c>
      <c r="D103" s="8" t="s">
        <v>536</v>
      </c>
      <c r="E103" s="7" t="s">
        <v>537</v>
      </c>
      <c r="F103" s="7" t="s">
        <v>538</v>
      </c>
      <c r="G103" s="7" t="s">
        <v>501</v>
      </c>
      <c r="H103" s="7" t="s">
        <v>539</v>
      </c>
      <c r="I103" s="2">
        <v>1</v>
      </c>
      <c r="J103" s="7"/>
    </row>
  </sheetData>
  <hyperlinks>
    <hyperlink ref="D18" r:id="rId1" xr:uid="{8B4658E3-271F-47F5-9A2F-9A9D1080C990}"/>
    <hyperlink ref="D66" r:id="rId2" display="https://www.researchgate.net/profile/Mahin-Montasir-Afif/publication/391346689_Blockchain-Driven_Halal_Supply_Chains_Enhancing_Transparency_and_Efficiency_While_Ensuring_Shariah_Adherence/links/68137925d1054b0207e60be0/Blockchain-Driven-Halal-Supply-Chains-Enhancing-Transparency-and-Efficiency-While-Ensuring-Shariah-Adherence.pdf" xr:uid="{FEA54639-2706-4F23-843B-DD934B956546}"/>
    <hyperlink ref="D53" r:id="rId3" xr:uid="{A5784F3F-AD30-4B95-A9C8-F6AA3F664B44}"/>
    <hyperlink ref="D15" r:id="rId4" xr:uid="{DE8CCFB8-8BA9-455C-BFAA-E6BDE4138EC1}"/>
    <hyperlink ref="D36" r:id="rId5" xr:uid="{C9BDF202-6101-40DD-847E-CEDCB76DB489}"/>
    <hyperlink ref="D68" r:id="rId6" xr:uid="{6AD0B0A0-CCA2-4C29-8EEE-6EF31458EDF6}"/>
    <hyperlink ref="D81" r:id="rId7" xr:uid="{92440C98-824A-42D5-AEF8-F336A44F6D0F}"/>
    <hyperlink ref="D51" r:id="rId8" xr:uid="{07298D6E-3C84-4736-BEDB-195BB090BE50}"/>
    <hyperlink ref="D30" r:id="rId9" xr:uid="{0DDA1418-4DBF-4625-92FE-0A30A5ADC0D1}"/>
    <hyperlink ref="D17" r:id="rId10" xr:uid="{88BEEB7A-88BB-4480-9573-5B45EBA3E690}"/>
    <hyperlink ref="D80" r:id="rId11" xr:uid="{376E6414-02EC-4732-92E9-7AD772B9FE56}"/>
    <hyperlink ref="D91" r:id="rId12" xr:uid="{536FB17F-5981-4825-B66B-0ECBDFCB5134}"/>
    <hyperlink ref="D92" r:id="rId13" xr:uid="{02BD710C-749C-4E93-8624-BFD548B24971}"/>
    <hyperlink ref="D93" r:id="rId14" xr:uid="{1F070E2B-3754-44B4-A60B-EB4282F4392C}"/>
    <hyperlink ref="D95" r:id="rId15" display="https://www.researchgate.net/publication/371749257_A_Review_Halal_Food_Supply_Chain_Practices_Research?enrichId=rgreq-ac43bca964ff2f86ba49bba1a7474403-XXX&amp;enrichSource=Y292ZXJQYWdlOzM3MTc0OTI1NztBUzoxMTQzMTI4MTIxMjkxNTU1M0AxNzAyOTAwMjI1OTgx&amp;el=1_x_3&amp;_esc=publicationCoverPdf" xr:uid="{D6FCB1E9-7740-4D04-B3F1-D527525468F8}"/>
    <hyperlink ref="D96" r:id="rId16" xr:uid="{FCE4020E-3C93-4161-B471-558551BFCE42}"/>
    <hyperlink ref="D97" r:id="rId17" xr:uid="{B63BD5B8-9103-4D9C-ABC6-68713B59EC1C}"/>
    <hyperlink ref="D99" r:id="rId18" display="https://scholar.google.com/scholar?hl=en&amp;as_sdt=0%2C5&amp;q=A+framework+for+IoT+and+blockchain+based+smart+food+chain+management+system+Akhilesh+Kumar+Singh+Zahid+Raza+School+of+Computer+and+Systems+Sciences%2C+Jawaharlal+Nehru+University%2C+New+Delhi%2C+India+Correspondence+Zahid&amp;btnG=" xr:uid="{B20D514E-5E2A-442B-BA5F-09B3B3148998}"/>
    <hyperlink ref="D100" r:id="rId19" xr:uid="{B8E832B6-0A25-4724-B660-623FD1D4E108}"/>
    <hyperlink ref="D103" r:id="rId20" xr:uid="{C48532A6-2BD7-492A-B06B-336B4E7B2D7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Muntasir Abussadik</dc:creator>
  <cp:lastModifiedBy>Muhammad Muntasir Yakubu</cp:lastModifiedBy>
  <dcterms:created xsi:type="dcterms:W3CDTF">2015-06-05T18:17:20Z</dcterms:created>
  <dcterms:modified xsi:type="dcterms:W3CDTF">2025-08-08T07:44:08Z</dcterms:modified>
</cp:coreProperties>
</file>