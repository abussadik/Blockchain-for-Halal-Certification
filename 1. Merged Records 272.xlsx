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Supplementry Files\"/>
    </mc:Choice>
  </mc:AlternateContent>
  <xr:revisionPtr revIDLastSave="0" documentId="13_ncr:1_{F93DF95B-FC13-4B50-8ECA-751E4DA0187E}" xr6:coauthVersionLast="47" xr6:coauthVersionMax="47" xr10:uidLastSave="{00000000-0000-0000-0000-000000000000}"/>
  <bookViews>
    <workbookView xWindow="-120" yWindow="-120" windowWidth="29040" windowHeight="15720" xr2:uid="{00000000-000D-0000-FFFF-FFFF00000000}"/>
  </bookViews>
  <sheets>
    <sheet name="Merged Records 27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1" i="1" l="1"/>
  <c r="D271" i="1"/>
  <c r="H265" i="1"/>
  <c r="D265" i="1"/>
  <c r="H256" i="1"/>
  <c r="D256" i="1"/>
  <c r="H245" i="1"/>
  <c r="D245" i="1"/>
  <c r="H227" i="1"/>
  <c r="D227" i="1"/>
  <c r="H223" i="1"/>
  <c r="D223" i="1"/>
  <c r="H212" i="1"/>
  <c r="D212" i="1"/>
  <c r="H210" i="1"/>
  <c r="H206" i="1"/>
  <c r="D206" i="1"/>
  <c r="H199" i="1"/>
  <c r="D199" i="1"/>
  <c r="H196" i="1"/>
  <c r="D196" i="1"/>
  <c r="H192" i="1"/>
  <c r="D192" i="1"/>
  <c r="H181" i="1"/>
  <c r="D181" i="1"/>
  <c r="H170" i="1"/>
  <c r="D170" i="1"/>
  <c r="H152" i="1"/>
  <c r="D152" i="1"/>
  <c r="H129" i="1"/>
  <c r="D129" i="1"/>
  <c r="H119" i="1"/>
  <c r="D119" i="1"/>
  <c r="H115" i="1"/>
  <c r="D115" i="1"/>
  <c r="H113" i="1"/>
  <c r="D113" i="1"/>
  <c r="H109" i="1"/>
  <c r="D109" i="1"/>
  <c r="H86" i="1"/>
  <c r="D86" i="1"/>
  <c r="H79" i="1"/>
  <c r="D79" i="1"/>
  <c r="H59" i="1"/>
  <c r="D59" i="1"/>
  <c r="H52" i="1"/>
  <c r="D52" i="1"/>
  <c r="H44" i="1"/>
  <c r="D44" i="1"/>
  <c r="H41" i="1"/>
  <c r="D41" i="1"/>
  <c r="H31" i="1"/>
  <c r="D31" i="1"/>
  <c r="H23" i="1"/>
  <c r="D23" i="1"/>
</calcChain>
</file>

<file path=xl/sharedStrings.xml><?xml version="1.0" encoding="utf-8"?>
<sst xmlns="http://schemas.openxmlformats.org/spreadsheetml/2006/main" count="1812" uniqueCount="1121">
  <si>
    <t>Authors</t>
  </si>
  <si>
    <t>Document Title</t>
  </si>
  <si>
    <t>Publication Year</t>
  </si>
  <si>
    <t>DOI Link</t>
  </si>
  <si>
    <t>Abstract</t>
  </si>
  <si>
    <t>Author Keywords</t>
  </si>
  <si>
    <t>Document Type</t>
  </si>
  <si>
    <t>Source</t>
  </si>
  <si>
    <t>Reason1</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</si>
  <si>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</si>
  <si>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</si>
  <si>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</si>
  <si>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</si>
  <si>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</si>
  <si>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 xml:space="preserve">Journal </t>
  </si>
  <si>
    <t>Google Scholar</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</si>
  <si>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</si>
  <si>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</si>
  <si>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</si>
  <si>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</si>
  <si>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</si>
  <si>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Conference Proceeding Paper</t>
  </si>
  <si>
    <t>Engineering Proceedings</t>
  </si>
  <si>
    <t>14th Global Islamic Marketing Conference, GIMAC 2023</t>
  </si>
  <si>
    <t>https://www.scopus.com/inward/record.uri?eid=2-s2.0-85206070613&amp;partnerID=40&amp;md5=6ce4e4026207d336d9db58c95bf9b4c8</t>
  </si>
  <si>
    <t>The proceedings contain 22 papers. The special focus in this conference is on Global Islamic Marketing. The topics include: The Souls of Man: Marketing and the Welfare of Man; are Halal Hotels Green? An Exploratory Study from Malaysia; Factors Influencing Customers’ Behavioral Intention in Online Banking: Second Order PLS-SEM; digitalization of Halal Food Supply Chain Management Based on Blockchain Technology; faith-Centric Consumerism?—Halal Brand Attitude and Research Agenda; exploring Customer Loyalty in Islamic Traditional Markets: Insights from Relationship Marketing and Experiential Marketing Theories; the Factors Influencing Brand Love: Evidence from Moroccan Football; Glass Ceiling Influence on the UAE Women’s Professional Development: A Crystalized Exposition; impact of Sustainability Mediated by Corporate Governance in Extra Large Size Microfinance Institutions of Bangladesh; the Role of Educational Research in Sustainable Development. The Reality of Sustainable Education in the Arab World and Future Perceptions; impact of Advertising on the Buying Behavior of Gen Z Indian Muslim Consumers; husband’s Rights on the Working Wife’s Income (An Economic Study in Islam); investigating the Key Drivers of Islamic Insurance in Morocco: A Structural Equation Modeling Analysis; from Taghrīr to Trust: A Comparative Study of Misrepresentation Challenges in Online Sales Contracts Within Islamic Law and the Jordanian Legal Framework; exploring the Influence of E-Trust on Virtual Organizations’ Success Through Knowledge Sharing; consumer Empowerment and Privacy: The Case of Morocco; The Challenges and Opportunities of COVID-19 for Islamic Microfinance Institutions in Bangladesh; tabayyun Measures for Self-Regulating Social Media Behaviour Among Muslim Consumers; AI-Driven Chatbots in Halal Marketing Communication—Challenges and Opportunities.</t>
  </si>
  <si>
    <t>Conference review</t>
  </si>
  <si>
    <t>Scopus</t>
  </si>
  <si>
    <t>15th World Congress on Services, SERVICES 2019 held as part of the Services Conference Federation, SCF 2019</t>
  </si>
  <si>
    <t>https://www.scopus.com/inward/record.uri?eid=2-s2.0-85068211726&amp;partnerID=40&amp;md5=0c94a10cd687dbf80270ab0d4a870fc5</t>
  </si>
  <si>
    <t>The proceedings contain 11 papers. The special focus in this conference is on Services. The topics include: Study on the coordination degree between fdi and modern service industry development in shenzhen; on efficiency of scrambled image forensics service using support vector machine; investigating personally identifiable information posted on twitter before and after disasters; current trends in collaborative filtering recommendation systems; big data quality: A data quality profiling model; on development of data science and machine learning applications in databricks; concept drift adaptive physical event detection for social media streams; clientNet cluster an alternative of transferring big data files by use of mobile code; utilizing blockchain technology to enhance halal integrity: The perspectives of halal certification bodies.</t>
  </si>
  <si>
    <t xml:space="preserve">Duplicate </t>
  </si>
  <si>
    <t>1st International Conference on Technology, Engineering, and Computing Applications: Trends in Technology Development in the Era of Society 5.0, ICTECA 2023</t>
  </si>
  <si>
    <t>https://www.scopus.com/inward/record.uri?eid=2-s2.0-85191321366&amp;partnerID=40&amp;md5=05e3ada8a88fc562963e8d39b5daac04</t>
  </si>
  <si>
    <t>The proceedings contain 64 papers. The topics discussed include: architectural design of electricity power consumption misuse detection based on light gradient boosting machine using blockchain technology; dual blockchain framework for halal food safety and traceability concern with internet of things; textural-base features in automatic early detection for acute ischemic stroke from diffusion weighted imaging – magnetic resonance imaging (DWI-MR) sequences; GPA and graduation prediction on bachelor degree for counseling purposes with machine learning prediction approach; spatial distribution of soil condition and bearing capacity for pile foundation design in Palembang; and the role of biosafety and biosecurity in biotechnology to prevent bioterrorism threats.</t>
  </si>
  <si>
    <t>Md Mahfujur Rahman, Md Rabiul Awal</t>
  </si>
  <si>
    <t>6G-Enabled smart Halal industry: enhancing compliance sustainability and efficiency</t>
  </si>
  <si>
    <t>https://www.sciencedirect.com/science/article/pii/B9780443274343000234</t>
  </si>
  <si>
    <t>The Halal industry is at the forefront of a technological revolution with the integration of sixth-generation (6G) technology. As global demand for Halal-certified products escalates, ensuring compliance, sustainability, and efficiency across complex supply chains (SCs) becomes increasingly critical. This chapter explores how 6G technology can transform the Halal industry by enabling real-time monitoring, enhancing SC communication, and providing advanced data analytics. The integration of 6G with Internet of Things, artificial intelligence, and digital twins promises to deliver unprecedented levels of automation in compliance processes, reduce waste, optimize energy usage, and ensure transparency from production to the point of sale. The chapter also highlights the opportunities and challenges in implementing 6G within the Halal industry, aiming to support a more sustainable and efficient future for Halal production.</t>
  </si>
  <si>
    <t>artificial intelligence; compliance process</t>
  </si>
  <si>
    <t>ScienceDirect</t>
  </si>
  <si>
    <t>Imen Zrelli, Abderahman Rejeb</t>
  </si>
  <si>
    <t>A bibliometric analysis of IoT applications in logistics and supply chain management</t>
  </si>
  <si>
    <t>https://www.sciencedirect.com/science/article/pii/S2405844024126096</t>
  </si>
  <si>
    <t>The rapid integration of the Internet of Things (IoT) into logistics and supply chain management (SCM) marks a significant transformation towards enhanced efficiencies, security, and sustainability. Through a comprehensive bibliometric analysis of 2680 publications from the Scopus database, this study charts the evolution of IoT within logistics and SCM and reveals a shift from foundational explorations to mature implementations. The research unfolds a complex thematic structure, highlighting the revolutionary impacts of IoT and related technologies such as RFID, the synergy of Industry 4.0 with SCM through Artificial Intelligence (AI) and the Industrial Internet of Things (IIoT), the strategic role of blockchain for enhanced traceability and security, and the advent of novel communication and encryption technologies for secure data exchanges. Further, the analysis categorizes the scholarly discourse into critical areas including big data and IoT optimization in SCM, IoT-driven innovation in the food supply chain, applications of blockchain and smart contracts, digital transformation through Industry 4.0, security advancements with intelligent systems, and the exploration of advanced technologies for Industry 4.0 and 5.0. This review not only delineates the intellectual landscape of IoT applications in logistics and SCM but also identifies emerging research areas such as blockchain integration, 5G potential, and AI-driven optimizations, suggesting pathways for future research to broaden the understanding in this dynamically evolving field. It serves as an essential resource for academics and practitioners, providing insights into the transformative role of IoT in logistics and SCM and proposing directions for future technological and academic endeavors.</t>
  </si>
  <si>
    <t>Internet of things; Logistics; Supply chain management; Industry 4.0; Bibliometrics</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</si>
  <si>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</si>
  <si>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</si>
  <si>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</si>
  <si>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</si>
  <si>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</si>
  <si>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</si>
  <si>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</si>
  <si>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</si>
  <si>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</si>
  <si>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Article</t>
  </si>
  <si>
    <t>Duplicate</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</si>
  <si>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</si>
  <si>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</si>
  <si>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</si>
  <si>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</si>
  <si>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</si>
  <si>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Sajal Halder, Md Rafiqul Islam, Quazi Mamun, Arash Mahboubi, Patrick Walsh, Md Zahidul Islam</t>
  </si>
  <si>
    <t>A comprehensive survey on AI-enabled secure social industrial Internet of Things in the agri-food supply chain</t>
  </si>
  <si>
    <t>https://www.sciencedirect.com/science/article/pii/S2772375525001352</t>
  </si>
  <si>
    <t>The rapid evolution of Artificial Intelligence (AI) and the Social Industrial Internet of Things (SIIoT) has significantly impacted the agri-food supply chain, offering transformative solutions for security, efficiency, and sustainability. However, challenges related to data integrity, cyber threats, and system interoperability remain. This study provides a comprehensive analysis of AI-enabled secure SIIoT applications in the agri-food supply chain, addressing key security concerns and efficiency bottlenecks. It aims to develop a structured taxonomy of AI-driven security mechanisms, highlighting their roles in safeguarding SIIoT systems. A systematic literature review was conducted using reputable databases, including Google Scholar, ACM, DBLP, IEEE Xplore, SCOPUS, and Web of Science, focusing on peer-reviewed articles from the last six years. Additionally, multiple case studies were examined to validate the real-world application of AI-driven security frameworks in the agri-food industry. The findings indicate that AI-driven security solutions significantly enhance trust management, anomaly detection, and data privacy in SIIoT networks. The proposed taxonomy categorizes AI-enabled security mechanisms into five distinct areas, offering a structured reference for future research and practical implementations. Furthermore, case study analysis demonstrates the successful deployment of AI-driven security in real-world agri-food applications, emphasizing improved traceability and resilience against cyber threats. This study advances the field by identifying gaps in current research, proposing strategic recommendations, and outlining future directions for AI-enabled secure SIIoT systems in the agri-food research domain. The insights presented here provide a strong foundation for researchers, policymakers, and stakeholders in the agri-food sector to build more resilient and intelligent ecosystems.</t>
  </si>
  <si>
    <t>Agri-food industry; Supply chain; AI; Industrial IoT; Cyber security; Social security</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</si>
  <si>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</si>
  <si>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</si>
  <si>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</si>
  <si>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</si>
  <si>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</si>
  <si>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Akhilesh Kumar Singh Zahid Raza</t>
  </si>
  <si>
    <t>A framework for IoT and blockchain based smart food chain
management system</t>
  </si>
  <si>
    <t>https://scholar.google.com/scholar?hl=en&amp;as_sdt=0%2C5&amp;q=A+framework+for+IoT+and+blockchain+based+smart+food+chain+management+system+Akhilesh+Kumar+Singh+Zahid+Raza+School+of+Computer+and+Systems+Sciences%2C+Jawaharlal+Nehru+University%2C+New+Delhi%2C+India+Correspondence+Zahid&amp;btnG=</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</si>
  <si>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</si>
  <si>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</si>
  <si>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Research paper</t>
  </si>
  <si>
    <t>Research gate</t>
  </si>
  <si>
    <t>Amin Vafadarnikjoo, Md. Abdul Moktadir, Sanjoy Kumar Paul, Syed Mithun Ali</t>
  </si>
  <si>
    <t>A novel grey multi-objective binary linear programming model for risk assessment in supply chain management</t>
  </si>
  <si>
    <t>https://www.sciencedirect.com/science/article/pii/S2949863523000110</t>
  </si>
  <si>
    <t>Robust and resilient agri-food supply chain management (AFSCM) is paramount to agribusinesses, given the many challenges and risks that this increased demand will bring in the coming decades. Interruptions caused by various risks to this crucial supply chain network, particularly in emerging economies, can put the lives of millions in danger, not to mention creating devastating impacts on the economy and the environment. Even so, there are only a limited number of quantitative risk management studies in the AFSCM literature. In this study, an integrated modified risk mitigation matrix (M-RMM) is developed to analyze the mitigation strategies for dealing with various risks in the context of the agri-food supply chain. The M-RMM is integrated with the grey multi-objective binary linear programming (GMOBLP) model to obtain the optimal risk mitigation strategies related to the three objective functions of risk, cost, and time minimization. The proposed model is a useful tool for formulating sustainable business policies and reducing food waste, and acquiring a context-specific (i.e., a developing economy), sector-specific (i.e., the agri-food processing sector), and multi-product (i.e., fresh and non-perishable) approach. The findings reveal that continuous training and development and vulnerability analysis of IT systems are the most effective risk mitigation strategies to lessen the impacts of lack of skilled personnel, sub-standard leadership, failure in IT systems, insufficient capacity to produce quality products, and poor customer relationships. The findings assist practitioners in managing risks in supply chains.</t>
  </si>
  <si>
    <t>Supply chain management; Multi-objective linear programming; Risk mitigation; Agri-food supply chain; Best-worst method; Grey theory</t>
  </si>
  <si>
    <t>N. Nasurudeen Ahamed, P. Karthikeyan</t>
  </si>
  <si>
    <t>A Reinforcement Learning Integrated in Heuristic search method for self-driving vehicle using blockchain in supply chain management</t>
  </si>
  <si>
    <t>https://www.sciencedirect.com/science/article/pii/S2666603020300129</t>
  </si>
  <si>
    <t>Blockchain is a distributed open (Public) ledger that is used to record the transaction across many computers. Blockchain technology can be applied in any domain such as banking, healthcare, real estate, travel, food, and supply chain. In supply chain management to train the self-driving vehicle in blockchain technology also integrate the Artificial Intelligence (AI) and Machine Learning (ML) Algorithms. In this paper we have proposed Reinforcement learning integrated heuristic search method (RLIH) for self-driving vehicle using blockchain in supply chain management by combining the advantage of reinforcement learning and heuristic search method. RLIH is developed using Decentralized app and result shows that proposed method outperform the existing heuristic search method in term of service time and data traffic.</t>
  </si>
  <si>
    <t>Blockchain; Artificial intelligence; Machine learning; Reinforcement learning; Public ledger; Self-driving</t>
  </si>
  <si>
    <t>Ahmad Shalihin</t>
  </si>
  <si>
    <t>A Review Halal Food Supply Chain Practices Research</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</si>
  <si>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</si>
  <si>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</si>
  <si>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</si>
  <si>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</si>
  <si>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</si>
  <si>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</si>
  <si>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</si>
  <si>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</si>
  <si>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</si>
  <si>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</si>
  <si>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</si>
  <si>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Chun Hsion Lim, Steven Lim, Bing Shen How, Wendy Pei Qin Ng, Sue Lin Ngan, Wei Dong Leong, Hon Loong Lam</t>
  </si>
  <si>
    <t>A review of industry 4.0 revolution potential in a sustainable and renewable palm oil industry: HAZOP approach</t>
  </si>
  <si>
    <t>https://www.sciencedirect.com/science/article/pii/S1364032120305128</t>
  </si>
  <si>
    <t>Palm oil is a renewable resource that has the potential to replace fossil fuel and petrochemical for a better sustainable system. However, there is room for improvement in the current operation of the palm oil industry to achieve better sustainability development. The industrial revolution toward automation and artificial intelligence (AI) is the new trend known as the fourth industrial revolution (Industry 4.0). Unfortunately, the palm oil industry has been moving slowly in this revolution. This paper aims to conduct a detailed review of the current state of the palm oil industry development toward Industry 4.0. A novel Hazard and Operability Analysis (HAZOP) approach is adopted i) to ensure a detailed evaluation of the existing problems, and ii) to identify potential implementation of Industry 4.0 technologies in the palm oil industry. HAZOP is a common approach used in chemical engineering to systematically evaluate process safety and identify the possible improvement of the existing system. The same concept is applied in this paper to investigate the possible adaptation of Industry 4.0 technologies to improve the palm oil industry. Existing Industry 4.0 technologies and features were evaluated to identify feasible adaptation in the industry. The HAZOP review proposed 23 recommendations to improve the palm oil industry with Industry 4.0 technologies to achieve a higher standard in sustainable production. A total of 13 specific Industry 4.0 features were identified as the potential development gaps for palm oil industry stakeholders, which included the adaptation of Internet-of-Things sensors, cloud computing, blockchain, and smart imaging processing technologies.</t>
  </si>
  <si>
    <t>Palm oil; Industry 4.0; HAZOP literature review; Certified sustainable palm oil; Smart palm oil process; Palm oil 4.0</t>
  </si>
  <si>
    <t>Ali, MH; Chung, LN; Kumar, A; Zailani, S; Tan, KH</t>
  </si>
  <si>
    <t>A sustainable Blockchain framework for the halal food supply chain: Lessons from Malaysia</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</si>
  <si>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t>
  </si>
  <si>
    <t>Blockchain technology; Halal; Food supply chain; SMEs</t>
  </si>
  <si>
    <t xml:space="preserve">Ali, Mohd Helmi, et al. </t>
  </si>
  <si>
    <t>https://doi.org/10.1016/j.techfore.2021.120870</t>
  </si>
  <si>
    <t>Blockchain technologyHalalFood supply chainSMEs</t>
  </si>
  <si>
    <t>Mohd Helmi Ali, Leanne Chung, Ajay Kumar, Suhaiza Zailani, Kim Hua Tan</t>
  </si>
  <si>
    <t>https://www.sciencedirect.com/science/article/pii/S0040162521003024</t>
  </si>
  <si>
    <t>Ali M.H.; Chung L.; Kumar A.; Zailani S.; Tan K.H.</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</si>
  <si>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</si>
  <si>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</si>
  <si>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</si>
  <si>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Vinay Surendra Yadav, A.R. Singh, Angappa Gunasekaran, Rakesh D. Raut, Balkrishna E. Narkhede</t>
  </si>
  <si>
    <t>A systematic literature review of the agro-food supply chain: Challenges, network design, and performance measurement perspectives</t>
  </si>
  <si>
    <t>https://www.sciencedirect.com/science/article/pii/S2352550921003304</t>
  </si>
  <si>
    <t>The present agriculture food supply chain (AFSC) faces numerous challenges about the growing demand for food items and consumer preference regarding food safety. In addition to growing concerns about sustainability, stringent government regulation, food security, and traceability issues force the managers, industries, and practitioners working in AFSC to adopt new tools, techniques, and methodology to model current food supply chain issues and correspondingly design the food logistics network. To this effect, the purpose of this article is threefold: the first focus is to identify the various challenges in AFSC, second is to review the research contribution in the field of designing agro-food supply chain network (AFSCN), while the third aspect is to investigate performance measurement system of AFSC through various performance indicators. For this, 108 articles are reviewed, and the main research findings are discussed in different aspects. Technology adoption and integration in design AFSCN are exciting prospects for future AFSC research. In addition, the digital transformation of AFSC is gaining wide acceptance across all agro-stakeholders and practitioners. Similarly, other research trends are further emphasized, and possible future challenges are also identified.</t>
  </si>
  <si>
    <t>Agriculture food supply chain; Performance indicators; Network design; Sustainability</t>
  </si>
  <si>
    <t>Mohaiyadin N.M.H.; Zahari H.M.; Mardzuki K.</t>
  </si>
  <si>
    <t>Addressing Challenges in Halal Certification Using Blockchain Technology</t>
  </si>
  <si>
    <t>https://www.scopus.com/inward/record.uri?eid=2-s2.0-85207544097&amp;doi=10.1007%2f978-981-97-1375-2_4&amp;partnerID=40&amp;md5=bf855ed7eb601d39cacfdd276d879e70</t>
  </si>
  <si>
    <t>Recently, there have been increased studies on the use of blockchain technology in many sectors but require further development in the Islamic sector. Discussion on how blockchain technology can fit in to improve the Islamic-based process, mainly for the Halal industry, needs to be extended. This chapter aims to address challenges in Halal certification using blockchain technology. Through the religious institutional theory of Shariah compliance, this chapter provides a frame-work for addressing challenges in Halal certification using blockchain technology. This chapter presents four challenges in Halal certification with blockchain solutions for each. Challenges in Halal certification include unrecognised and centralised Halal certification, information about Halal products, non-compliance, as well as trust and authenticity. Meanwhile, theoretical contributions include two developments: a liter-ature review in the context of Halal certification and the use of religious institutional theory. Practical contributions include the best practices for improving processes using blockchain technology in Halal certification and understanding how to use the blockchain technology advantage to improve the Halal certification process. This chapter can be extended to empirical evidence and uses the combination of religious institutional theory and information system theory. © The Editor(s) (if applicable) and The Author(s), under exclusive license to Springer Nature Singapore Pte Ltd. 2024.</t>
  </si>
  <si>
    <t>Blockchain; Halal certification; Religious institutional theory; Shariah compliance</t>
  </si>
  <si>
    <t>Book chapter</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</si>
  <si>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</si>
  <si>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</si>
  <si>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</si>
  <si>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</si>
  <si>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</si>
  <si>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Hendayani, R; Fernando, Y</t>
  </si>
  <si>
    <t>Adoption of blockchain technology to improve Halal supply chain performance and competitiveness</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</si>
  <si>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t>
  </si>
  <si>
    <t>Firm competitiveness; Halal supply chain performance; Blockchain technology; Manufacturing; Halal food</t>
  </si>
  <si>
    <t>Ratih Hendayani, Yudi Fernando 
Journal of Islamic Marketing</t>
  </si>
  <si>
    <t>https://www.emerald.com/insight/content/doi/10.1108/jima-02-2022-0050/full/html?casa_token=eEpYfk9I7LcAAAAA:Eyk41Ll7jjT5cLmF27-VYMPGh7P5kXMD0PxyAWNNowG5Lp-f74pykhxR7MzAFV9CP1G5GTyyjyupTZVRr9YdPbHxiGW8mG4D_8eTf1jlM7fGaVa4IWmbPg</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</si>
  <si>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t>
  </si>
  <si>
    <t>Firm competitiveness, Halal supply chain performance, Blockchain technology,
Manufacturing, Halal food</t>
  </si>
  <si>
    <t>Hendayani R.; Fernando Y.</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</si>
  <si>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</si>
  <si>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</si>
  <si>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</si>
  <si>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Fernando Y.; Darun M.R.; Abideen A.Z.; Ibrahim D.N.; Tieman M.; Mohamad F.</t>
  </si>
  <si>
    <t>Adoption of Blockchain Technology to Improve Integrity of Halal Supply Chain Management</t>
  </si>
  <si>
    <t>https://www.scopus.com/inward/record.uri?eid=2-s2.0-85100482616&amp;doi=10.4018%2f978-1-7998-3473-1.ch172&amp;partnerID=40&amp;md5=f5e2984a2feba86c6a0a6b244ec10ccc</t>
  </si>
  <si>
    <t>[No abstract available]</t>
  </si>
  <si>
    <t>Artnice Mega Fathima1, Laila Rahmawati1,*, Anjar Windarsih1,2, and Suratno1</t>
  </si>
  <si>
    <t>Advanced Halal Authentication Methods and
Technology for Addressing Non-Compliance
Concerns in Halal Meat and Meat Products
Supply Chain: A Review</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</si>
  <si>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</si>
  <si>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</si>
  <si>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</si>
  <si>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</si>
  <si>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</si>
  <si>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Ros Maria Mat Yeh, Bakr Ahmed Taha, Nur Nadia Bachok, Nurfarhana M.Sapiee, Ahmad Razi Othman, Nurul Huda Abd Karim, Norhana Arsad</t>
  </si>
  <si>
    <t>Advancements in detecting porcine-derived proteins and DNA for enhancing food integrity: Taxonomy, challenges, and future directions</t>
  </si>
  <si>
    <t>https://www.sciencedirect.com/science/article/pii/S0956713524001166</t>
  </si>
  <si>
    <t>In the global food processing industry, accidental contamination of pork components is widespread, and this occurrence raises concerns about the integrity of health-conscious vegan products, the potential health risks associated with allergenic reactions, and the intricate legal complexities surrounding fraudulent labeling practices. Such practices involve misrepresenting food labels and the deceptive substitution of non-porcine ingredients with pork counterparts. This review aims to thoroughly assess methods for detecting proteins derived from pork and innovative biosensor technologies designed for identifying porcine DNA in food products. It delves into the prevalent problem of detecting porcine DNA in food products within the international food processing sector. It provides a comprehensive overview and analysis of various techniques for detecting pork-based proteins. These techniques encompass electrophoresis, immunoassay, chromatography, and spectroscopy, meticulously examining their applicability and relevance. Additionally, it explores the potential of cutting-edge biosensor technologies in identifying porcine DNA in food products, demonstrating a commitment to remaining at the forefront of scientific innovation. Various biosensors, including electrochemical, optical, luminescence, and colorimetric, are scrutinized for their potential impact on the industry. Significantly, this review goes beyond merely listing methods and technologies. It takes the extra step of critically evaluating the strengths and limitations of each approach, providing a well-rounded perspective. Finally, future trends in detection technologies related to pork derivatives are discussed. Incorporating micro/nanofiber and artificial intelligence into biosensors can enhance their sensitivity, accuracy, and capacity to detect and identify pork proteins in food. Consequently, it offers valuable insights into the current status of porcine species identification and the promising developments in this field.</t>
  </si>
  <si>
    <t>DNA detection; Protein detection; Meat species identification; Food integrity; Biosensors; Analytical methods</t>
  </si>
  <si>
    <t>Xingguo Liu, Luxi Chen, Ao Shen, Jingyuan Song, Meixin Wang, Xiulei Qi, Shilong Zhao, Lianghai Hu</t>
  </si>
  <si>
    <t>Advances on sample pretreatment and identification tools of biomarker analysis for food authenticity</t>
  </si>
  <si>
    <t>https://www.sciencedirect.com/science/article/pii/S0956713525003226</t>
  </si>
  <si>
    <t>Food fraud refers to the intentional adulteration, counterfeiting, and deceptive practices employed by producers during the production and processing of food. The review intends to offer valuable insights into the realm of food authenticity testing by integrating the sample pretreatment, targeted enrichment of marker molecules for detecting food fraud using advanced identification techniques. The primary emphasis focuses on enrichment methods for enhancing the accuracy, reliability, and sensitivity of identification, achieved through extraction from complex food samples or the selection of appropriate signaling probes for interaction with target molecules. Furthermore, this review provides a comprehensive overview of advanced identification tools, including PCR, sensors, spectral analysis, and mass spectrometry-based techniques, etc. Prospect for future trends was also brought up on identification of food authenticity from the molecular level, thereby reducing the incidence of food fraud through scientific and technological means and safeguarding consumer rights and human health.</t>
  </si>
  <si>
    <t>Food authenticity; Marker molecules; Sample enrichment; Identification techniques</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</si>
  <si>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</si>
  <si>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</si>
  <si>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</si>
  <si>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</si>
  <si>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</si>
  <si>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Albert Tan, David Gligor, Azizi Ngah</t>
  </si>
  <si>
    <t>Applying Blockchain for Halal food traceability</t>
  </si>
  <si>
    <t>https://doi.org/10.1080/13675567.2020.1825653</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</si>
  <si>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</si>
  <si>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 tQR code, food supply chain, traceability</t>
  </si>
  <si>
    <t>Tan A.; Gligor D.; Ngah A.</t>
  </si>
  <si>
    <t>https://www.scopus.com/inward/record.uri?eid=2-s2.0-85091469285&amp;doi=10.1080%2f13675567.2020.1825653&amp;partnerID=40&amp;md5=6a25c8856428566ec529c64f6f234a19</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</si>
  <si>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 © 2020 Informa UK Limited, trading as Taylor &amp; Francis Group.</t>
  </si>
  <si>
    <t>Blockchain; food supply chain; Halal requirements; QR code; smart contract; traceability</t>
  </si>
  <si>
    <t>Tan, A; Gligor, D; Ngah, A</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</si>
  <si>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</si>
  <si>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</si>
  <si>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Manal Hader, David Tchoffa, Abderrahman El Mhamedi, Parisa Ghodous, Alexandre Dolgui, Abdellah Abouabdellah</t>
  </si>
  <si>
    <t>Applying integrated Blockchain and Big Data technologies to improve supply chain traceability and information sharing in the textile sector</t>
  </si>
  <si>
    <t>https://www.sciencedirect.com/science/article/pii/S2452414X22000176</t>
  </si>
  <si>
    <t>Nowadays, the textile industry is strutting its stuff. On one hand, customers have a diverse choice of products available on personalized mobile apps, with immediate deliveries and returns. On the other hand, production is more effective and efficient than ever, thanks to increased automation and computerization in textile processes. However current supply chain management systems still face several serious problems such as tampering of products, poor traceability, delay, and lack of real-time information sharing. Today, a new technology called blockchain, which is a ground-breaking innovation in decentralized information technologies, can solve the above-mentioned challenges due to its important features, such as decentralization, transparency, and immutability. In this direction, this paper proposes a new framework for textile supply chain traceability based on blockchain which could offer an information platform, for all supply chain members with transparency and information sharing. Creating a traceable and transparent supply chain for textile industry would help customers to make informed choices about products they buy and the companies they support. For stakeholders in the textile supply chain, having traceability and real time information sharing builds better relationships, increases efficiency, and reduces the risk and cost of product recalls, counterfeit, and unethical labors. However, since blockchain technology is still in its early stages, it has some inherent defects, in which scalability becomes a primary and urgent one when we face the mass data in the real world. Hence, we present a new approach, consisting of the integration between two technologies which are blockchain and Big Data, to fill in the decentralized systems at scale. One of the primary research questions answered is how blockchain empowered by Big Data can be utilized and applied to manage traceability and information sharing more accurately through global supply chains. In this study we examine the necessity of traceability system concept and information sharing, followed by presentation of a blockchain integrated big data framework and its development processes. Finally, performance of this proposition is evaluated, and challenges of such a traceability system that can be addressed through further research are presented.</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</si>
  <si>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</si>
  <si>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</si>
  <si>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</si>
  <si>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</si>
  <si>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</si>
  <si>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Vanany, I; Soon-Sinclair, JM; Rahkmawati, NA</t>
  </si>
  <si>
    <t>PurposeThe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technology.Design/methodology/approachA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decisions.FindingsThe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customers.Practical implicationsThe proposed halal blockchain decision structure can assist food companies in deciding whether to adopt the technology.Originality/valueThis study proposes 19 variables that establish a valid hierarchical structure of halal blockchain adoption for the Indonesian food industry.</t>
  </si>
  <si>
    <t>Halal blockchain adoption; Food Industry; Best-worst method</t>
  </si>
  <si>
    <t xml:space="preserve"> Nurul Indarti</t>
  </si>
  <si>
    <t>Asystematicreviewofhalal
 supply chain research:
 to whereshall wego?</t>
  </si>
  <si>
    <t>https://www.emerald.com/insight/1759-0833.htm</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</si>
  <si>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</si>
  <si>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Halalsupply chain, Supply chain, Systematic review, Interpretation analysis</t>
  </si>
  <si>
    <t>Literature review</t>
  </si>
  <si>
    <t xml:space="preserve"> Journal of Islamic Marketing
 ©EmeraldPublishingLimited</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</si>
  <si>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</si>
  <si>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</si>
  <si>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</si>
  <si>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</si>
  <si>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</si>
  <si>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M. F. Iskandar Othman; N. R. Masrom; I. F. Isnin; R. Zuraidah Rasi; Y. Abd Rahim; Y. Arshad</t>
  </si>
  <si>
    <t>Blockchain Adoption Intention by a Third-Party Logistics Company: A Malaysian Case Study</t>
  </si>
  <si>
    <t>https://ieeexplore.ieee.org/stamp/stamp.jsp?arnumber=9617035</t>
  </si>
  <si>
    <t>Blockchain is a distributed ledger technology that continues to make headlines as a potential silver bullet for companies wanting to harness its benefits like transparency, integrity, and the ability to track and trace. Pioneered by the financial industry, other sectors are beginning to follow through with adoption, including the logistics and transportation sector. However, current studies on adoption by this specific sector remains underrepresented in the literature. This research uses qualitative data from in-depth interviews of a single third-party logistics (3PL) company to elicit feedback on their perceived benefits of blockchain adoption and the factors that might drive or inhibit adoption. The results show that factors identified support previous literature as well as providing rich qualitative data explaining the barriers that inhibit adoption. The results contribute to both literature and practice, providing insights to other companies within the 3PL industry.</t>
  </si>
  <si>
    <t>Blockchain;third party logistics (3PL);adoption;barriers;qualitative</t>
  </si>
  <si>
    <t>IEEE Conferences</t>
  </si>
  <si>
    <t>IEEE</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</si>
  <si>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</si>
  <si>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</si>
  <si>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</si>
  <si>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</si>
  <si>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</si>
  <si>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D. I. Handayani; I. Vanany</t>
  </si>
  <si>
    <t>Blockchain Application in Halal Supply Chain: Literature Review and Future Research</t>
  </si>
  <si>
    <t>https://ieeexplore.ieee.org/stamp/stamp.jsp?arnumber=9673084</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</si>
  <si>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2017â€“2021.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</si>
  <si>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application;supply chain;halal supply chain</t>
  </si>
  <si>
    <t>Dupliacte</t>
  </si>
  <si>
    <t>Handayani D.I.; Vanany I.</t>
  </si>
  <si>
    <t>https://www.scopus.com/inward/record.uri?eid=2-s2.0-85125425967&amp;doi=10.1109%2fIEEM50564.2021.9673084&amp;partnerID=40&amp;md5=0279bf50eba96bf828da9b8ac2e53a16</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</si>
  <si>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  © 2021 IEEE.</t>
  </si>
  <si>
    <t>Blockchain application; Halal supply chain; Supply chain</t>
  </si>
  <si>
    <t>Conference paper</t>
  </si>
  <si>
    <t>Handayani, DI; Vanany, I</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</si>
  <si>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</si>
  <si>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</si>
  <si>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Proceedings Paper</t>
  </si>
  <si>
    <t>T. Imanto; S. Yazid</t>
  </si>
  <si>
    <t>Blockchain Based Halal Food Production Tracking</t>
  </si>
  <si>
    <t>https://ieeexplore.ieee.org/stamp/stamp.jsp?arnumber=9631868</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</si>
  <si>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t>
  </si>
  <si>
    <t>halal;blockchain;supply chain;smart contract</t>
  </si>
  <si>
    <t>Teguh Imanto; Setiadi Yazid</t>
  </si>
  <si>
    <t>https://ieeexplore.ieee.org/abstract/document/9631868/?casa_token=AghBGgVdIaAAAAAA:_i_HWXYp5Vi7QWJM9Tu_zBVsjddENg41TYnWfu-2St0CFZGP1lHdCJCMAWI09aQRoXIbfSICikdM</t>
  </si>
  <si>
    <t>halal
,
blockchain
,
supply chain
,
smart contract</t>
  </si>
  <si>
    <t>Imanto T.; Yazid S.</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</si>
  <si>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</si>
  <si>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</si>
  <si>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</si>
  <si>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</si>
  <si>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</si>
  <si>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</si>
  <si>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</si>
  <si>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</si>
  <si>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Chandra G.R.; Liaqat I.A.; Sharma B.</t>
  </si>
  <si>
    <t>Blockchain Redefining: The Halal Food Sector</t>
  </si>
  <si>
    <t>https://www.scopus.com/inward/record.uri?eid=2-s2.0-85065602797&amp;doi=10.1109%2fAICAI.2019.8701321&amp;partnerID=40&amp;md5=48d47f869a4af487d47e9ca5e62623bd</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</si>
  <si>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 © 2019 IEEE.</t>
  </si>
  <si>
    <t>Blockchain; Halal Certification; Halal Food; Hyperledger Composer; Supply Chain; Transparency</t>
  </si>
  <si>
    <t>Chandra, GR; Liaqat, IA; Sharma, B</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</si>
  <si>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Mimed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</si>
  <si>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 Halal Food; Halal Certification; Supply Chain; Transparency; Hyperledger Composer</t>
  </si>
  <si>
    <t>Geetanjali Ramesh Chandra; Iman Ali Liaqat; Bhoopesh Sharma</t>
  </si>
  <si>
    <t>https://doi.org/10.1109/AICAI.2019.8701321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</si>
  <si>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</si>
  <si>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
,
Halal Food
,
Halal Certification
,
Supply Chain
,
Transparency
,
Hyperledger Composer</t>
  </si>
  <si>
    <t>Conference</t>
  </si>
  <si>
    <t>G. R. Chandra; I. A. Liaqat; B. Sharma</t>
  </si>
  <si>
    <t>https://ieeexplore.ieee.org/stamp/stamp.jsp?arnumber=8701321</t>
  </si>
  <si>
    <t>Blockchain;Halal Food;Halal Certification;Supply Chain;Transparency;Hyperledger Composer</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</si>
  <si>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</si>
  <si>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</si>
  <si>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</si>
  <si>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</si>
  <si>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</si>
  <si>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</si>
  <si>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</si>
  <si>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</si>
  <si>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</si>
  <si>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</si>
  <si>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</si>
  <si>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</si>
  <si>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</si>
  <si>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</si>
  <si>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 xml:space="preserve">Nasir Mehmood, Muslim Shah &amp; Hamid Faisal </t>
  </si>
  <si>
    <t>https://doi.org/10.1007/978-981-97-1375-2_1</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</si>
  <si>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t>
  </si>
  <si>
    <t>Book Chapter</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</si>
  <si>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</si>
  <si>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</si>
  <si>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</si>
  <si>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</si>
  <si>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</si>
  <si>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Ferhat Caliskan, Yavuz Idug, David Gligor, Seock-Jin Hong</t>
  </si>
  <si>
    <t>Blockchain technology for building buyer-supplier trust and transparency in supply chains: An experimental study on P2P online marketplace vendors</t>
  </si>
  <si>
    <t>https://www.sciencedirect.com/science/article/pii/S0019850124002025</t>
  </si>
  <si>
    <t>This study aims to examine blockchain technology's impact on transparency and trust within the context of the buyer-supplier relationship of vendors and P2P (peer-to-peer) platforms. This research employs a scenario-based experimental design and an online dataset comprised of 243 vendors on an online P2P platform to empirically test the effect of blockchain features. The findings indicate that the relationship between blockchain features and the vendors' willingness to continue selling is fully mediated by the vendors' perceptions of transparency of the P2P platform and their trust in it. Moreover, switching costs moderate the relationship between trust and willingness to continue selling on the P2P platform, but not the one between transparency and willingness. Unlike the previous research, this study examines the relationship with online platforms from the perspective of vendors (B2B), rather than end customers (B2C). This research contributes to social exchange theory and resource dependence theory, as well as to the emerging research at the intersection of business relationships in P2P online platforms, microenterprises, and emergent technologies. Further, we augment supply chain literature on buyer-supplier trust by offering insights into the impact of blockchain.</t>
  </si>
  <si>
    <t>Peer-to-peer platform; Blockchain; Buyer-supplier relationship; Trust; Transparency; Switching cost; Social exchange theory; Resource dependence theory</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</si>
  <si>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</si>
  <si>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</si>
  <si>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</si>
  <si>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</si>
  <si>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</si>
  <si>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</si>
  <si>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</si>
  <si>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</si>
  <si>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</si>
  <si>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</si>
  <si>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N. H. M. Saad; K. Zhu; G. ElSayad; W. P. Wong</t>
  </si>
  <si>
    <t>Blockchain Technology in Malaysian Agriculture: A Bibliometric and Topic Modelling Analysis</t>
  </si>
  <si>
    <t>https://ieeexplore.ieee.org/stamp/stamp.jsp?arnumber=11015051</t>
  </si>
  <si>
    <t>The integration of blockchain technology in agriculture presents transformative potential, particularly within the context of Malaysia's dynamic agricultural sector. This study employs bibliometric analysis and BERT-based topic modelling to examine the trajectory of research in this domain, utilizing 180 conference papers from the Scopus database (2019-2024). The bibliometric analysis highlights key contributors, thematic clusters, and collaborative dynamics, while the topic modelling uncovers emergent research themes, including supply chain transparency, sustainable development, and Halal certification. Findings underscore blockchain's capability to enhance food security, traceability, and agricultural efficiency. Challenges, such as regulatory hurdles and adoption barriers among smallholder farmers, are also addressed. This research provides actionable insights for policymakers, researchers, and industry stakeholders to foster innovation, strengthen Malaysia's global agricultural competitiveness, and align with sustainability objectives.</t>
  </si>
  <si>
    <t>blockchain technology;Malaysian agriculture;bibliometric analysis;topic modelling;BERTopic</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</si>
  <si>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</si>
  <si>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</si>
  <si>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</si>
  <si>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</si>
  <si>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</si>
  <si>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Review</t>
  </si>
  <si>
    <t>Andry Alamsyah, Sri Widiyanesti, Puspita Wulansari, Eva Nurhazizah, Andrieta Shintia Dewi, Dadan Rahadian, Dian Puteri Ramadhani, Muhammad Naufal Hakim, Prenzeline Tyasamesi</t>
  </si>
  <si>
    <t>Blockchain traceability model in the coffee industry</t>
  </si>
  <si>
    <t>https://www.sciencedirect.com/science/article/pii/S2199853123001105</t>
  </si>
  <si>
    <t>As one of the most popular drinks in the world, coffee has limitations in its complex and opaque supply chain. Consumers have difficulty verifying coffee quality according to the price they pay. However, innovative technologies such as blockchain emerge with the potential to support the coffee supply chain to be more transparent and traceable. Blockchain technology is a distributed database that allows for secure, transparent, and tamper-proof record-keeping, which makes it an ideal tool for tracking the movement of coffee beans throughout the supply chain, from farmers to roasters to retailers. Each step in the coffee supply chain could be logged and tracked using blockchain, thus supporting greater transparency. Traceability would make it easier to identify and track any issues or irregularities in the supply chain. We propose a model to transform a coffee industry supply chain business process into a blockchainable workflow. In addition, an application was developed to allow each stakeholder in the supply chain to contribute to the data collection and monitor the status of each coffee batch. The application prototype was implemented and evaluated in one of the coffee industries in Indonesia. This research will benefit farmers in getting fair prices and end-consumers getting quality assurance.</t>
  </si>
  <si>
    <t>Traceability; Blockchain technology; Supply chain; Coffee industry; Quality assurance</t>
  </si>
  <si>
    <t>John G. Keogh, Abderahman Rejeb, Nida Khan, Khaldoon Zaid-Kaylani</t>
  </si>
  <si>
    <t>Blockchain: an enabler for safe food in global supply networks</t>
  </si>
  <si>
    <t>https://www.sciencedirect.com/science/article/pii/B9780128194706000081</t>
  </si>
  <si>
    <t>Recurring food safety and food fraud incidents have negatively impacted the food industry's credibility and consumer confidence. As a result, food safety management and food fraud risk have garnered significant attention. Food business operators are aware of the need to respond to consumer concerns regarding product quality and safety and shape consumer attitudes regarding food. In parallel, businesses with local, regional, or global food supply chains (FSCs) are continually evaluating the use of advanced technologies to improve supply chain efficiency and flexibility and reduce risk. In this regard, scholars have examined food safety issues and proposed blockchain technology. Blockchain is a foundational innovation that has the potential to radically transform FSCs and support the efficient management and operations of food industry stakeholders. In this chapter, we aim to expand the academic understanding of the full potential of the technology and the impediments to its adoption in the food industry by providing a comprehensive review and understanding of the literature's most prominent topics. As the chapter's primary sources of information, two blockchain use cases were selected, summarised, and analysed to highlight the practical relevance of adopting the technology in the FSC. The chapter's findings indicate that blockchain can improve FSC traceability, transparency and trust, collaboration and trade, and contributes to food safety management. However, the technology's benefits cannot be realised until technical, organisational, and regulatory issues are resolved.</t>
  </si>
  <si>
    <t>Blockchain; food; supply chains; traceability; transparency; trust; food integrity</t>
  </si>
  <si>
    <t>Zhaojing Wang, Tengyu Wang, Hao Hu, Jie Gong, Xu Ren, Qiying Xiao</t>
  </si>
  <si>
    <t>Blockchain-based framework for improving supply chain traceability and information sharing in precast construction</t>
  </si>
  <si>
    <t>https://www.sciencedirect.com/science/article/pii/S0926580519305059</t>
  </si>
  <si>
    <t>Precast construction has great potential for driving innovations in clean, safe, high-efficient construction methods in the industry. However, current precast supply chain management often faces challenges such as fragmentation, poor traceability, and lack of real-time information. To address these challenges, this study builds a novel blockchain-based information management framework for a precast supply chain, which extends the applications of blockchain in the domain of construction supply chains. In this study, a blockchain framework and its development processes are presented in detail, and algorithms for smart contracts are developed for the model implementation. Finally, the performance of this framework is validated with a case study in which a visualization system is presented to achieve (1) information sharing management, (2) real-time control of scheduling, and (3) information traceability. The results suggest that the proposed framework facilitates the on-time delivery of precast components (PCs) and tracks the reasons for disputes centered on PCs in the precast supply chain.</t>
  </si>
  <si>
    <t>Prefabrication; Real-time information; Communication; Smart contract; Blockchain</t>
  </si>
  <si>
    <t>Zailani S.; Lestari Y.D.; Norman A.A.; Yudoko G.; Famiola M.; Azzuhri S.R.; Faturohman T.</t>
  </si>
  <si>
    <t>Blockchain-based halal traceability system adoption for halal food supply chains: An exploratory study in Malaysia and Indonesia as emerging halal markets</t>
  </si>
  <si>
    <t>https://www.scopus.com/inward/record.uri?eid=2-s2.0-85185113102&amp;doi=10.4324%2f9781003289050-17&amp;partnerID=40&amp;md5=b7422c8f30145cb8048804befd629f4a</t>
  </si>
  <si>
    <t>Sachin Yele, Ratnesh Litoriya</t>
  </si>
  <si>
    <t>Blockchain-based secure dining: Enhancing safety, transparency, and traceability in food consumption environment</t>
  </si>
  <si>
    <t>https://www.sciencedirect.com/science/article/pii/S2096720923000623</t>
  </si>
  <si>
    <t>This research paper seeks to examine the possibilities of blockchain technology. For use in the field of restaurant food tracking and safety. Public health risks and economic costs are at stake when foodborne illness outbreaks occur, making food safety a top priority in the food industry. It can be difficult to quickly identify and address possible concerns about using traditional food traceability systems due to inefficiencies, data discrepancies, and a lack of transparency. In this study, we introduce a novel blockchain-based system developed especially for the purpose of tracking restaurant food. Blockchain decentralised consensus, immutability, and smart contracts are put to use in this system to provide trustworthy and transparent traceable infrastructure. Real-time monitoring and data collection along the food supply chain become possible when the blockchain architecture is combined with the Internet of Things (IoT) devices and RFID technology. We show that our proposed blockchain-based traceability solution is practical and efficient through a thorough assessment and validation procedure. The outcomes show that the system not only improves data quality and reliability but also drastically decreases the time and resources needed for food traceability. In addition, patrons are more likely to return to eateries that place a premium on food safety when they are given more information about the establishment’s practises. Additionally, we discuss scalability, data privacy, and interoperability concerns that may arise in future implementations and provide some initial ideas for overcoming these issues.</t>
  </si>
  <si>
    <t>Blockchain; Smart contracts; Cryptography; Food chain; Traceability</t>
  </si>
  <si>
    <t>Alamsyah, A; Hakim, N; Hendayani, R</t>
  </si>
  <si>
    <t>Blockchain-Based Traceability System to Support the Indonesian Halal Supply Chain Ecosystem</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</si>
  <si>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t>
  </si>
  <si>
    <t>blockchain; halal supply chain; traceability system; slaughterhouse</t>
  </si>
  <si>
    <t>Alamsyah A.; Hakim N.; Hendayani R.</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</si>
  <si>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</si>
  <si>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</si>
  <si>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</si>
  <si>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Andry Alamsyah *, Naufal Hakim and Ratih Hendayani</t>
  </si>
  <si>
    <t>Blockchain-Based Traceability System to Support theIndonesian Halal Supply Chain Ecosystem</t>
  </si>
  <si>
    <t>https://www.mdpi.com/2227-7099/10/6/134</t>
  </si>
  <si>
    <t>he halal industry is constantly developing into a broader concept of the Islamic economy,an economic activity that follows the Islamic-based principle. As a populous Muslim country,Indonesia follows the growth trend by aiming to dominate the global halal market. The strategy is toimprove the current halal assurance process. Presently, the technology and procedure do not provideenough process transparency, traceability, and granularity of information. To achieve the strategicgoal, a technological change is needed. A new emerging technology, blockchain, may potentiallyanswer the challenge. This study’s first objective is to discuss improving the current assurancepractice in the Indonesian halal supply chain ecosystem, particularly in the meat industry. The secondobjective is to construct a traceability system model for the supply chain. Our goal is to proposea blockchain-based halal traceability system model. The model can be enhanced to be a nationalstandard tool to develop the economy towards a sustainable supply chain</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</si>
  <si>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</si>
  <si>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</si>
  <si>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</si>
  <si>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</si>
  <si>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</si>
  <si>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Sumarliah E.; Li T.; Wang B.; Fauziyah F.; Indriya I.</t>
  </si>
  <si>
    <t>Blockchain-empowered halal fashion traceability system in Indonesia</t>
  </si>
  <si>
    <t>https://www.scopus.com/inward/record.uri?eid=2-s2.0-85116975431&amp;doi=10.4018%2fIJISSCM.287628&amp;partnerID=40&amp;md5=5c77920ad16b91215f8af889a10e62a4</t>
  </si>
  <si>
    <t>Incorporating blockchain into Halal traceability systems is developing in nature; the research aspires to examine the participation intent in blockchain-empowered Halal fashion traceability (BHFT) system via a joint framework that includes diffusion of innovation theory, institutional theory, and Halal-oriented approach. The study uses a simple random sampling method to collect the data from 165 Indonesian Halal fashion manufacturing companies. PLS-SEM is employed to examine the conceptual framework. Findings show that Halal-oriented approach significantly affects institutional pressures, while institutional pressures significantly affect perceived desirability, and perceived desirability significantly affects the participation intent. The companies operating an inclusive Halal-oriented approach will be more aware of the institutional pressures that expect them to partake in a BHFT. The paper enhances the existing literature in Halal supply chains, blockchain, operation management, and information systems via a cohesive framework and empirical insight. Copyright © 2022, IGI Global.</t>
  </si>
  <si>
    <t>Blockchain; Diffusion of Innovation Theory; Halal Fashion; Halal Orientation Strategy; Hijab; Innovation; Institutional Theory; Supply Chain; Traceability System</t>
  </si>
  <si>
    <t>Abbas Keramati, Bethany Siau, Tyler Bellitto, Jafar Heydari, Tanya Panchal</t>
  </si>
  <si>
    <t>Blockchains effects on responsiveness to recalls in the food and beverage industry</t>
  </si>
  <si>
    <t>https://www.sciencedirect.com/science/article/pii/S2949948825000101</t>
  </si>
  <si>
    <t>Blockchain technology, by revolutionizing the way businesses use data, is shifting the cost-responsiveness frontier. While the most popular application of blockchain is cryptocurrency, nowadays it is touching many other businesses including the food and beverage industry. This paper is a short survey in assessing the usefulness of blockchain technology in the food and beverage supply chain, with a narrow focus on the impact on the product recalls. While recalls are crucial in the food and beverage industry, as they deal with public health, they happen frequently and therefore an efficient and responsive recall process is essential. This paper investigates whether US companies utilizing blockchain technology experience shorter recall durations. Data from Food and Drug Administration (FDA) recall datasets, specifically targeting companies implementing blockchain technology, are analyzed using statistical analysis methods. The results reveal that companies adopting blockchain technology have significantly shorter recall times, demonstrating their usefulness in food and beverage recalls, along with its other advantages. This study highlights the potential of blockchain in improving recall management within the food and drink industry and provides applicable insights for food and beverage supply chain managers.</t>
  </si>
  <si>
    <t>Blockchain; Food and beverages industry; Analysis of variance; Recall duration</t>
  </si>
  <si>
    <t>Shahida Anusha Siddiqui, Shuva Bhowmik, Maliha Afreen, İlknur Ucak, Ali Ikram, Francesca Gerini, Mohammad Mehdizadeh, Raphael D. Ayivi, Roberto Castro-Muñoz</t>
  </si>
  <si>
    <t>Bodybuilders and high-level meat consumers’ behavior towards rabbit, beef, chicken, turkey, and lamb meat: A comparative review</t>
  </si>
  <si>
    <t>https://www.sciencedirect.com/science/article/pii/S0899900723003337</t>
  </si>
  <si>
    <t>In bodybuilders’ diets, protein plays a crucial role in supporting muscle growth and repairing damaged muscle tissue. These individuals meet their protein needs by combining dietary sources with supplements. Animal-based proteins are often preferred over plant-based proteins because they are believed to better support muscle protein synthesis. This review explores the meat consumption patterns of bodybuilders and high-level meat consumers, focusing on rabbit, beef, chicken, turkey, and lamb. We describe and compare the types of meat bodybuilders commonly consume and provide an overview of protein supplements, including meat-based options, plant-based alternatives, and whey-based products. Our aim is to gain insight into the dietary preferences of bodybuilders and high-level meat consumers, considering their nutritional requirements and the potential effect on the meat industry. We conducted an extensive search across various databases, including Scopus, Web of Science, PubMed, and Google Scholar. We found that individual choices vary based on factors such as attitudes, trust, taste, texture, nutritional content, ethical considerations, and cultural influences. Nutritional factors, including protein content, amino acid profiles, and fat levels, significantly influence the preferences of bodybuilders and high-level meat consumers. However, it is crucial to maintain a balance by incorporating other essential nutrients such as carbohydrates, healthy fats, vitamins, and minerals to ensure a complete and balanced diet. The findings from this review can inform strategies and product development initiatives tailored to the needs of bodybuilders and discerning meat enthusiasts.</t>
  </si>
  <si>
    <t>Bodybuilding; Competition preparation; Dietary strategies; Nutrition; Supplements; Meat consumption</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</si>
  <si>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</si>
  <si>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</si>
  <si>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</si>
  <si>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</si>
  <si>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Dashti L.A.H.F.; Jackson T.; West A.; Jackson L.</t>
  </si>
  <si>
    <t>Building a Halal Food Traceability Model for Kuwaiti Halal Ecosystem from Stakeholders’ Perspectives</t>
  </si>
  <si>
    <t>https://www.scopus.com/inward/record.uri?eid=2-s2.0-85199189748&amp;doi=10.1007%2f978-3-031-63269-3_17&amp;partnerID=40&amp;md5=08db6fa2cc37b1391a757c3e074557d7</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</si>
  <si>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 © The Author(s), under exclusive license to Springer Nature Switzerland AG 2024.</t>
  </si>
  <si>
    <t>halal food; stakeholders’ requirements; Supply chain; traceability system</t>
  </si>
  <si>
    <t>Darin Detwiler</t>
  </si>
  <si>
    <t>Building the Future of Food Safety Technology</t>
  </si>
  <si>
    <t>https://www.sciencedirect.com/science/article/pii/B978012818956600004X</t>
  </si>
  <si>
    <t>Population increase will be a turning point in our approach to food growth, production, protection, and distribution. Dubai’s “Food Watch” is a digital platform used by this UAE municipality to digitize data to support the traceability and transparency of imported and certified foods. This version of Blockchain serves as an example of how to attempt to predict and prevent failures in the food supply and to ultimately prevent a future public health crisis.</t>
  </si>
  <si>
    <t>Scientists; Technologists; Legislators; Consumers; Food recalls; Outbreaks; Illnesses and deaths; Population; Food Quality; Specifications; Consumers’ Desires; Authentication; Organoleptic Testing; USDA; Foodborne pathogens; Whole genome sequencing; Certifications Kosher; Halal; Vegan; Vegetarian; Food reputations; Food safety; Dubai; UAE; Emirates restaurants; Imports; “Food Watch”; Digital platform; Digitize; Traceability; Transparency; Blockchain; Predict; Prevent failure; Public health crisis</t>
  </si>
  <si>
    <t>Giorgia Casella, Barbara Bigliardi, Serena Filippelli, Eleonora Bottani</t>
  </si>
  <si>
    <t>Cases of application of blockchain on the supply chain: a literature review</t>
  </si>
  <si>
    <t>https://www.sciencedirect.com/science/article/pii/S1877050922024255</t>
  </si>
  <si>
    <t>Blockchain emerged as a leading technology layer for financial applications. Nevertheless, in the past years, the attention of researchers and practitioners moved to the application of the blockchain technologies in other domains. Supply chain is the topic playing more attention to the blockchain. In line with this consideration, this paper focuses on case studies of blockchain implementation targeting the supply chain context. Through a systematic literature review, we derived a list of 107 papers retrieved from the Scopus database and published in the main academic reference journals. Using these studies, this paper tracks and analyses the evolution of the research field based on publication year and journals, most prominent countries and authors and keywords’ analysis. The results provide a clear picture of the existing literature to identify the research gap of the current scientific research and to propose a future research agenda.</t>
  </si>
  <si>
    <t>Blockchain; literature review; case study; supply chain</t>
  </si>
  <si>
    <t>Christian James, Stephen J. James</t>
  </si>
  <si>
    <t>Chilling</t>
  </si>
  <si>
    <t>https://www.sciencedirect.com/science/article/pii/B9780128225219001581</t>
  </si>
  <si>
    <t xml:space="preserve">There is no strict definition of what constitutes a chilled food. In general, it covers any food in which the temperature of the food is reduced to, and maintained at, a temperature below that of the ambient temperature, but above the temperature where any of its water content will change from a liquid to a solid (i.e., begin to freeze). Temperature is the principal controlling factor for the biological safety of chilled foods. This article describes and explains the technologies used to produce chilled foods and maintain the chill-chain; and the role of chilling and chilled storage </t>
  </si>
  <si>
    <t>Blast chilling; Chill-chain; Chilled storage; Chilling; Cryogenic chilling; Refrigeration; Refrigerator; Retail display; Transportation; Vacuum cooling</t>
  </si>
  <si>
    <t>Xiao Liu, Yulin Feng, Ren Li, Huijuan Zhang, Feiyue Ren, Jie Liu, Jing Wang</t>
  </si>
  <si>
    <t>Comprehensive review of dysphagia and technological advances in dysphagia food</t>
  </si>
  <si>
    <t>https://www.sciencedirect.com/science/article/pii/S0963996924014248</t>
  </si>
  <si>
    <t>As the global population ages, dysphagia is becoming increasingly common among the elderly, posing serious risks such as choking, aspiration pneumonia, and even death. Leveraging advanced technologies to develop specialized food products for those with dysphagia not only serves the economic interests of the elderly food market but also significantly enhances the nutritional health and social satisfaction of this demographic. This review examines the causes and early symptoms of dysphagia, the development of texture-modified foods (TMFs), and the relevant regulations and standards. It also addresses the key factors influencing the swallowing of foods, focusing on rheology and tribology. Most texture-modified foods currently available do not provide an enjoyable eating experience for the elderly or those with dysphagia. The integration of artificial intelligence (AI) and mathematical modeling with food additive manufacturing technology appears promising for improving foods designed for the elderly and those with dysphagia. This paper highlights the critical benefits and potential applications of AI, mathematical modeling, and food additive manufacturing in creating dysphagia-friendly foods and provides a conceptual system for designing diets based on AI for dysphagic foods. AI and mathematical model-based food processing technology enable the food industry to achieve digitalization and large-scale customization, potentially revolutionizing the approach to dietary management in dysphagia.</t>
  </si>
  <si>
    <t>Dysphagia; The elderly; Texture-modified foods; 3D printing; Artificial intelligence; Rheology</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</si>
  <si>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</si>
  <si>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</si>
  <si>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</si>
  <si>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</si>
  <si>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</si>
  <si>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</si>
  <si>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</si>
  <si>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</si>
  <si>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</si>
  <si>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R. Mardiyah; A. U. Ismail; D. Khairani; Y. Durachman; T. Rosyadi; S. U. Masruroh</t>
  </si>
  <si>
    <t>Conceptual Framework on Halal Meat Traceability to Support Indonesian Halal Assurance System (HAS 23000) using Blockchain Technology</t>
  </si>
  <si>
    <t>https://ieeexplore.ieee.org/stamp/stamp.jsp?arnumber=9588953</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</si>
  <si>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t>
  </si>
  <si>
    <t>HAS 23000;Blockchain;Traceability;Halal Assurance</t>
  </si>
  <si>
    <t>Mardiyah R.; Ismail A.U.; Khairani D.; Durachman Y.; Rosyadi T.; Masruroh S.U.</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</si>
  <si>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</si>
  <si>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</si>
  <si>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</si>
  <si>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</si>
  <si>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</si>
  <si>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</si>
  <si>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</si>
  <si>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</si>
  <si>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Raimi L.; Animashaun U.A.</t>
  </si>
  <si>
    <t>Contemporary Discourse on the Farm-to-Fork Concept of the Blue Economy: Exploration for Halal Industry Sustainability</t>
  </si>
  <si>
    <t>https://www.scopus.com/inward/record.uri?eid=2-s2.0-105005053188&amp;doi=10.1007%2f978-981-96-1729-6_16&amp;partnerID=40&amp;md5=e92c19969378df1ba3b8eeb032682ade</t>
  </si>
  <si>
    <t>This chapter explores the integration of the Farm-to-Fork concept within the Blue Economy framework to enhance sustainability in the Halal industry. Utilising the Critical Discourse Analysis (CDA) methodology, which examines how language and discourse shape and reflect social practices, power relations, and ideologies, the insightful results reveal that sustainable aquaculture and fishing practices have a significant impact on food security, economic growth, and compliance with Halal standards in Muslim-majority countries. These practices ensure a stable food supply, improve nutritional quality, stimulate economic growth and attract investment. To achieve these benefits, the chapter proposes a multidimensional framework that aligns sustainable development goals with Islamic guidelines and includes policy development, certification systems, technological innovations for traceability, and robust stakeholder partnerships. Key challenges identified in the Blue Economy farm-to-fork approach include complex supply chains, lack of standardization, technological gaps and fraud risks. Proposed solutions include blockchain technology, uniform certification standards, capacity building and strict regulatory enforcement. Practical implications for policymakers include the development of harmonized regulations that integrate blue economy principles with halal standards. This includes creating comprehensive policies that mandate sustainable practices throughout the supply chain and promoting standards that address environmental sustainability and halal compliance. Industry practitioners are encouraged to use technological solutions such as blockchain for greater transparency and consumer trust and to use digital platforms for better coordination and compliance with standards. Ongoing education and training programs for all stakeholders are essential to raise awareness of halal integrity and sustainable practices. © The Author(s), under exclusive license to Springer Nature Singapore Pte Ltd. 2025.</t>
  </si>
  <si>
    <t>Blue economy; Critical discourse analysis; Farm-to-fork; Halal industry; Sustainability</t>
  </si>
  <si>
    <t>Moustafa Mohamed Nazief Haggag Kotb Kholaif, Ming Xiao, Ahmed Hamdy</t>
  </si>
  <si>
    <t>Covid-19's effect on green supply chains and environmental sustainability; innovative technologies moderation</t>
  </si>
  <si>
    <t>https://www.sciencedirect.com/science/article/pii/S0959652623012416</t>
  </si>
  <si>
    <t>Even though the COVID-19 epidemic caused many problems for global supply chains, it also created opportunities that helped get people interested in cleaner production, sustainability, and business practices that are good for the environment again. This study seeks to examine the pandemic's opportunities for enhancing green supply chain management (GSC-management) and Sustainable environmental-performance by exploring the link between the uncertainty-anxiety of the pandemic, GSC-management, and Sustainable environmental-performance and inspecting the moderating effect of novel technology adoption like big-data analysis capabilities (BDA) and blockchain technologies (BCT) on this relationship. A questionnaire of 517 managers of SMEs in Egypt was used to test and analyze hypotheses with the PLS-SEM method. The findings show that the uncertainty-anxiety of the pandemic improves GSC-management significantly. Also, BDA moderates the link between the uncertainty-anxiety of the pandemic and GSC-management. However, BCT does not moderate that direct link. Also, GSC-management positively affects a firm's sustainable environmental-performance. In addition, GSC-management significantly mediates the correlation between the uncertainty-anxiety of the pandemic and sustainable environmental-performance. The study's findings have massive implications for how SMEs will be managed during COVID-19. Also, it contributes to the theory by using the Social cognitive theory to show how the uncertainty-anxiety of the pandemic positively affects the GSC-management practices and how the dynamic capabilities theory explains the innovative technologies moderating effect of such relationship.</t>
  </si>
  <si>
    <t>GSC-Management; Blockchain technologies; Big data analytics; Sustainable environmental-performance; Uncertainty-anxiety; COVID-19</t>
  </si>
  <si>
    <t>seng, M.-L.,Ha, H. M.,Tran, T. P. T.,Bui, T.-D.,Lim, M. K.,Lin, C.-W.andHelmi Ali, M.</t>
  </si>
  <si>
    <t>Data-driven on sustainable food supply chain: a comparison on Halal and non-Halal food system.</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</si>
  <si>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</si>
  <si>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</si>
  <si>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</si>
  <si>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Susanty A.; Puspitasari N.B.; Rosyada Z.F.; Pratama M.A.; Kurniawan E.</t>
  </si>
  <si>
    <t>Design of blockchain-based halal traceability system applications for halal chicken meat-based food supply chain</t>
  </si>
  <si>
    <t>https://www.scopus.com/inward/record.uri?eid=2-s2.0-85180198148&amp;doi=10.1007%2fs41870-023-01650-8&amp;partnerID=40&amp;md5=06198ea119c48f664a70833ccf218ff9</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</si>
  <si>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 © The Author(s), under exclusive licence to Bharati Vidyapeeth's Institute of Computer Applications and Management 2023.</t>
  </si>
  <si>
    <t>Blockchain; Chicken meat-based food supply chain; Halal traceability; Website</t>
  </si>
  <si>
    <t xml:space="preserve">Aries Susanty, Nia Budi Puspitasari, Zainal Fanani Rosyada, Muhamad Aria Pratama &amp; Edi Kurniawan </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</si>
  <si>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</si>
  <si>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</si>
  <si>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</si>
  <si>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Whisnumurti Adhiwibowo a b
, 
Widayat Widayat a
,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</si>
  <si>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</si>
  <si>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</si>
  <si>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</si>
  <si>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BlockchainHalal traceabilityHalal fresh meatInternet of Things</t>
  </si>
  <si>
    <t>Whisnumurti Adhiwibowo, Widayat Widayat, Wahyul Amien Syafei</t>
  </si>
  <si>
    <t>(https://www.sciencedirect.com/science/article/pii/S2590123025012083)</t>
  </si>
  <si>
    <t>Blockchain; Halal traceability; Halal fresh meat; Internet of Things</t>
  </si>
  <si>
    <t xml:space="preserve">Isti Surjandari, Harman Yusuf, Enrico Laoh &amp; Rayi Maulida </t>
  </si>
  <si>
    <t>Designing a Permissioned Blockchain Network for the Halal Industry using Hyperledger Fabric with multiple channels and the raft consensus mechanism</t>
  </si>
  <si>
    <t>https://link.springer.com/article/10.1186/s40537-020-00405-7</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</si>
  <si>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</si>
  <si>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Islam
Islamic Finance
Open Source
Regulatory networks
Supply Chain Management
Blockchain</t>
  </si>
  <si>
    <t>Surjandari I.; Yusuf H.; Laoh E.; Maulida R.</t>
  </si>
  <si>
    <t>https://www.scopus.com/inward/record.uri?eid=2-s2.0-85098843101&amp;doi=10.1186%2fs40537-020-00405-7&amp;partnerID=40&amp;md5=ef2c6e62b764e09b01ddccbe69fc14e3</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</si>
  <si>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 © 2021, The Author(s).</t>
  </si>
  <si>
    <t>Blockchain; Halal Supply Chain; Hyperledger Fabric; Multiple channels; Raft</t>
  </si>
  <si>
    <t>Surjandari, I; Yusuf, H; Laoh, E; Maulida, R</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</si>
  <si>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</si>
  <si>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</si>
  <si>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</si>
  <si>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</si>
  <si>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</si>
  <si>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</si>
  <si>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</si>
  <si>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</si>
  <si>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</si>
  <si>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</si>
  <si>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</si>
  <si>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</si>
  <si>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</si>
  <si>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</si>
  <si>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</si>
  <si>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</si>
  <si>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</si>
  <si>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Harsanto, B; Farras, JI; Firmansyah, EA; Pradana, M; Apriliadi, A</t>
  </si>
  <si>
    <t>Digital Technology 4.0 on Halal Supply Chain: A Systematic Review</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</si>
  <si>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t>
  </si>
  <si>
    <t>halal supply chain; innovative digital technology 4.0; halal value chain; systematic review; HSCM; halal industry; halal production; halal logistics; technology; halal supply chain management</t>
  </si>
  <si>
    <t>Harsanto B.; Farras J.I.; Firmansyah E.A.; Pradana M.; Apriliadi A.</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</si>
  <si>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</si>
  <si>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</si>
  <si>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</si>
  <si>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</si>
  <si>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</si>
  <si>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</si>
  <si>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</si>
  <si>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</si>
  <si>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</si>
  <si>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</si>
  <si>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</si>
  <si>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</si>
  <si>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 xml:space="preserve">Mohd Heikal, Abdul Rachman, Muizzudin &amp; Falahuddin </t>
  </si>
  <si>
    <t>https://link.springer.com/chapter/10.1007/978-981-97-5400-7_7</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</si>
  <si>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t>
  </si>
  <si>
    <t>Fernando, Y; Hendayani, R; Jawo, M; Rahamaddulla, SR; Aziz, KA; Maimunah, N</t>
  </si>
  <si>
    <t>Discovering Islamic marketing potential in shaping blockchain-based halal logistic services: a bibliometric analysis</t>
  </si>
  <si>
    <t>Purpose -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t>
  </si>
  <si>
    <t>Islamic marketing; Halal logistics; Blockchain; Customer behaviour; SRuBA; Muslim</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</si>
  <si>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</si>
  <si>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</si>
  <si>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</si>
  <si>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</si>
  <si>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</si>
  <si>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Shupeng Liang</t>
  </si>
  <si>
    <t>Distributed Computer Function Assisted Evaluation Based on Virtual Reality</t>
  </si>
  <si>
    <t>https://www.sciencedirect.com/science/article/pii/S1877050923018781</t>
  </si>
  <si>
    <t>Distributed computers have been widely used in various fields in today's society, including military and aviation. It has many advantages, but its shortcomings cannot be ignored. This article used virtual reality technology to upgrade and improve distributed computers, while conducting auxiliary evaluations from three aspects: compatibility, structural integrity, and security. Through experimental calculations, it was found that after using virtual reality technology to upgrade distributed computers, the average compatibility reached 96%, which was 8.6% higher than the previous 87.4%. The experimental results indicated that virtual reality technology had a very significant improvement effect on distributed computers.</t>
  </si>
  <si>
    <t>Distributed Computer; Virtual Reality; Functional Assistance Evaluation; Target Tracking</t>
  </si>
  <si>
    <t>W. Adhiwibowo; W. Widayat; W. A. Syafei</t>
  </si>
  <si>
    <t>Dual Blockchain Framework for Halal Food Safety and Tracebility Concern With Internet of Things</t>
  </si>
  <si>
    <t>https://ieeexplore.ieee.org/stamp/stamp.jsp?arnumber=10490466</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</si>
  <si>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t>
  </si>
  <si>
    <t>Dual Blockchain;Halal Food;IoT;Slaughterhouses</t>
  </si>
  <si>
    <t>Adhiwibowo W.; Widayat W.; Syafei W.A.</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</si>
  <si>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</si>
  <si>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</si>
  <si>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</si>
  <si>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Novianti D.; Hapsari D.A.</t>
  </si>
  <si>
    <t>E-commerce halal: Innovating with design thinking in the digital era</t>
  </si>
  <si>
    <t>https://www.scopus.com/inward/record.uri?eid=2-s2.0-105005383754&amp;doi=10.4018%2f979-8-3693-8618-7.ch002&amp;partnerID=40&amp;md5=769aa9889384c6dc8b1c6417e933dfc5</t>
  </si>
  <si>
    <t>This chapter explores the application of design thinking methods in the context of developing a halal e- commerce platform. By focusing on the needs of Muslim users, this study successfully identified a number of key challenges faced by halal e- commerce platforms. Through a design thinking approach, it successfully uncovered a number of challenges, including the lack of real- time halal verification, limited halal certification information, and unclear product origins. As a solution to these problems based on the ideation process, features are needed in e- commerce in the form of Blockchain for Transparency and Security of the Halal Supply Chain, Internet of Things (IoT) for Monitoring and Security of Halal Products, and Data Analytics for Deep Understanding and Personal Recommendations. Thus, the results of this study are expected to contribute to the development of a more innovative and trusted halal e- commerce platform. © 2025, IGI Global Scientific Publishing. All rights reserved.</t>
  </si>
  <si>
    <t>Rahman M.M.</t>
  </si>
  <si>
    <t>Ethical and Technological Convergence: AI and Blockchain in Halal Healthcare</t>
  </si>
  <si>
    <t>https://www.scopus.com/inward/record.uri?eid=2-s2.0-85207969983&amp;doi=10.1002%2f9781394287420.ch23&amp;partnerID=40&amp;md5=39eda8c3888c0cb5e40ccd7575ec121e</t>
  </si>
  <si>
    <t>The integration of artificial intelligence (AI) and blockchain technology in Halal healthcare signifies a transformative approach toward ethical and technological convergence. This chapter explores the regulatory, ethical, and technological frontiers where AI and blockchain intersect to enhance Halal healthcare delivery. It delves into the complexities of implementing AI-driven solutions within the frameworks of Halal principles, emphasizing the need for transparency, accountability, and ethical use of technology. Furthermore, it highlights the role of Blockchain in reinforcing data security, ensuring the traceability of Halal certification processes, and maintaining patient trust. This chapter sheds light on the advancements and collaborative efforts required to navigate the regulatory landscape, fostering a harmonious integration of cutting-edge technologies in Halal healthcare. © 2024 Scrivener Publishing LLC.</t>
  </si>
  <si>
    <t>artificial intelligence; blockchain; ethics; faith; Halal healthcare; technology</t>
  </si>
  <si>
    <t>Rejeb A.; Rejeb K.; Simske S.; Keogh J.G.</t>
  </si>
  <si>
    <t>Exploring Blockchain Research in Supply Chain Management: A Latent Dirichlet Allocation-Driven Systematic Review</t>
  </si>
  <si>
    <t>https://www.scopus.com/inward/record.uri?eid=2-s2.0-85175002563&amp;doi=10.3390%2finfo14100557&amp;partnerID=40&amp;md5=f4a706a0d1f1dccba6fbdb16da567c19</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</si>
  <si>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 © 2023 by the authors.</t>
  </si>
  <si>
    <t>blockchain technology; e-commerce; supply chain finance; supply chain management; topic modeling; traceability</t>
  </si>
  <si>
    <t>Rejeb, A; Rejeb, K; Simske, S; Keogh, JG</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</si>
  <si>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t>
  </si>
  <si>
    <t>blockchain technology; supply chain management; traceability; supply chain finance; e-commerce; topic modeling</t>
  </si>
  <si>
    <t>Keru Duan, Gu Pang, Yong Lin,</t>
  </si>
  <si>
    <t>Exploring the current status and future opportunities of blockchain technology adoption and application in supply chain management</t>
  </si>
  <si>
    <t>https://www.sciencedirect.com/science/article/pii/S2773067024000050</t>
  </si>
  <si>
    <t>This study comprises a systematic literature review that offers a thorough analysis of the present state-of-the-art knowledge regarding the adoption and application of blockchain technology within the context of supply chain management. Based on an extensive review of 133 articles from highly-regarded journals, we developed a framework where we highlight the integration of the transition from blockchain technology adoption to its application. This transition process is explained by two theories: the Technology Acceptance Model and the Diffusion of Innovation Theory. In the adoption phase, we identified eight internal drivers and seven external drivers, together with comprehensive barriers. Our framework also integrates and examines the blockchain technology application stage, focusing not only on the current development of benefits of blockchain technology implementation but also on the challenges that impede the successful implementation of blockchain technology in supply chain management. The future development prospects are also highlighted which include standardization, platform development, regulation system development, cost reduction, and talent cultivation. These future developments were critical yet were missing in the current academic literature. By providing an in-depth analysis of these challenges, our study can assist supply chain practitioners in making informed decisions about blockchain-enabled supply chain management initiatives.</t>
  </si>
  <si>
    <t>Blockchain; Supply chain management; Systematic literature review</t>
  </si>
  <si>
    <t>Muneer M. Alshater, Irum Saba, Indri Supriani, Mustafa Raza Rabbani</t>
  </si>
  <si>
    <t>Fintech in islamic finance literature: A review</t>
  </si>
  <si>
    <t>https://www.sciencedirect.com/science/article/pii/S2405844022016735</t>
  </si>
  <si>
    <t>This study reviews Islamic FinTech research development from 2017 to 2022. The study adopts a hybrid approach combining bibliometric and content analysis to reveal the current research trend of Islamic FinTech research. Using the Scopus database, we retrieve 85 documents and analyze them using RStudio and VOSviewer. The content analysis categorizes the research output in Islamic FinTech into four distinct streams. The study finds potential for cointegrating FinTech into Islamic finance to benefit the unbanked and small-medium-size businesses, the adoption of FinTech in Islamic finance will also help the government improve financial inclusion, conquer financial crises, such as COVID-19, and achieve SDGs for a sustainable nation. However, the lack of legal regulation and the lower financial literacy becomes the primary obstacle to the development of FinTech in Islamic finance.</t>
  </si>
  <si>
    <t>Islamic FinTech; Crowdfunding; Payments; Blockchain; Cryptocurrency; P2P lending</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</si>
  <si>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</si>
  <si>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</si>
  <si>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</si>
  <si>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</si>
  <si>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</si>
  <si>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Charis M. Galanakis</t>
  </si>
  <si>
    <t>Food Authentication and Traceability</t>
  </si>
  <si>
    <t>https://www.sciencedirect.com/science/article/pii/B9780128211045000180</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</si>
  <si>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</si>
  <si>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</si>
  <si>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</si>
  <si>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</si>
  <si>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</si>
  <si>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</si>
  <si>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</si>
  <si>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</si>
  <si>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</si>
  <si>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</si>
  <si>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</si>
  <si>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Tomy Perdana, Bhakti Stephan Onggo, Agriani Hermita Sadeli, Diah Chaerani, Audi Luqmanul Hakim Achmad, Fernianda Rahayu Hermiatin, Yu Gong</t>
  </si>
  <si>
    <t>Food supply chain management in disaster events: A systematic literature review</t>
  </si>
  <si>
    <t>https://www.sciencedirect.com/science/article/pii/S2212420922004022</t>
  </si>
  <si>
    <t>The food supply chain (FSC) is considered to be a critical infrastructure by all governments, and multiple strategies have been proposed to make FSCs more resilient towards disruptions. However, major disasters such as COVID-19 have exposed the vulnerabilities in FSC that were previously invisible (or easily solved) during normal operation but become a major challenge in a major disaster situation. Researchers quickly responded to the challenge, as shown by the significant increase in the number of articles on FSC management in disaster events since COVID-19, providing the motivation for this article. This research conducts a systematic literature review on research into FSC management in disaster events. The articles identified are analysed using content analyses to distinguish research objectives, methodologies, threats from different types of disasters and proposed solutions. This article also uncovers research gaps and presents suggested research directions. One of the gaps identified is the lack of research on humanitarian FSC. Most articles are focused on the resilience of commercial FSC during disaster events, while lacking research focused on humanitarian FSC. There are several differences between commercial and humanitarian FSC, making further research on humanitarian FSC necessary.</t>
  </si>
  <si>
    <t>Literature review; Food supply chain; Resilience; Disaster; Food security; Food safety; Food access; Agriculture; Humanitarian food supply chain; Risk reduction</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</si>
  <si>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</si>
  <si>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</si>
  <si>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</si>
  <si>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</si>
  <si>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</si>
  <si>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Munawar1, Arif Mugiono</t>
  </si>
  <si>
    <t>Framework for smart contract blockchain in halal traceability,
integrity, and transparency</t>
  </si>
  <si>
    <t>https://www.researchgate.net/profile/Munawar-Munawar-4/publication/380940676_Framework_for_smart_contract_blockchain_in_halal_traceability_integrity_and_transparency/links/6657244822a7f16b4f55e914/Framework-for-smart-contract-blockchain-in-halal-traceability-integrity-and-transparency.pd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</si>
  <si>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t>
  </si>
  <si>
    <t>Electronic product code
information services
Halal
Off-chain
On-chain
Smart contract
Traceability</t>
  </si>
  <si>
    <t>S. S. Maidin; N. Yahya; M. Othman; A. Suliman; T. -L. Nghiem; T. N. T. Thu</t>
  </si>
  <si>
    <t>Governing the Halal Supply Chain using Blockchain Technology in Malaysia</t>
  </si>
  <si>
    <t>https://ieeexplore.ieee.org/stamp/stamp.jsp?arnumber=10007176</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</si>
  <si>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t>
  </si>
  <si>
    <t>halal;governance;traceability;transparency;blockchain</t>
  </si>
  <si>
    <t>Maidin S.S.; Yahya N.; Othman M.; Suliman A.; Nghiem T.-L.; Thu T.N.T.</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</si>
  <si>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</si>
  <si>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</si>
  <si>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</si>
  <si>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</si>
  <si>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</si>
  <si>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</si>
  <si>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</si>
  <si>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</si>
  <si>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</si>
  <si>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</si>
  <si>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</si>
  <si>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</si>
  <si>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</si>
  <si>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Noorliza K.</t>
  </si>
  <si>
    <t>Halal Blockchain Technology Application: A Consumer Confidence and Competitive Advantage</t>
  </si>
  <si>
    <t>https://www.scopus.com/inward/record.uri?eid=2-s2.0-85133330387&amp;doi=10.1007%2f978-3-030-98160-0_17&amp;partnerID=40&amp;md5=96c8c0bddda64268ad37234604265306</t>
  </si>
  <si>
    <t>This chapter presents information about the halal BCT application and its antecedents and consequences in the halal logistics and supply chains. Later, it provides the hybrid and innovative model of the halal BCT application that makes firms gain more positive impact. © 2022, The Author(s), under exclusive license to Springer Nature Switzerland AG.</t>
  </si>
  <si>
    <t>Competitive advantage; Halal blockchain technology; Halal food industry</t>
  </si>
  <si>
    <t>Rahmah M.; Barizah N.</t>
  </si>
  <si>
    <t>Halal certification of patented medicines in Indonesia in digital age: A panacea for the pain?</t>
  </si>
  <si>
    <t>https://www.scopus.com/inward/record.uri?eid=2-s2.0-85091233677&amp;doi=10.31838%2fsrp.2020.12.34&amp;partnerID=40&amp;md5=0b0f930b9e7f7de013c066de94b1cdd5</t>
  </si>
  <si>
    <t>The rapid growth of the Muslim population in Indonesia has led to a corresponding increase in the demand for halal medicines and medication. To ensure the halal status of medicines, Indonesia has adopted a regulatory framework for halal certification and labeling for all products marketed in the country. The new framework makes halal certification mandatory for all food, beverage, medicines, cosmetics, chemicals (used for human consumption), sold in Indonesia by October 2019. However the implementation of the new framework faces complex challenges that call for innovative solutions. Apart from basic inconsistencies in the law, there are no clear regulations for implementation. More importantly, most medicines marketed in the country are patented imports and 95% of Indonesian raw pharmaceutical ingredients are imported from different doubtful halal sources. This situation makes it difficult to audit the halal status of medicines even when patent holders manufacture the medicines in Indonesia. Furthermore, for halal certification, Indonesia will need well-regulated and transparent harmonized accreditation procedures that meet global standards that patent holders can comply with. . As a member of the WTO, Indonesia is bound by the Technical Barriers to Trade (TBT) Agreement that prohibit any trade barriers that might be presented by halal certification. With only a few months left for the pharmaceutical industry to meet the October 2019 deadline, there is an urgent need for Indonesia to look at innovative ways to implement halal medicines certification effectively and efficiently. The paper critically evaluates the systemic challenges that face halal certification for patented medicines and recommends the use of digital technology as a remedy. The paper argues that the use of Online Single Submission and BlockChain technology may be the panacea for the pains of halal certification in Indonesia. © 2020 EManuscript Technologies. All rights reserved.</t>
  </si>
  <si>
    <t>Digital technology; Halal certification; Indonesia; Patented medicines</t>
  </si>
  <si>
    <t>Wresni Anggraini, Wakhid Slamet Ciptono and Luluk Lusiantoro, Heru Kurnianto Tjahjono</t>
  </si>
  <si>
    <t>Halal Food Integrity: Systematic Literature Review and Research Agendas</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</si>
  <si>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</si>
  <si>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</si>
  <si>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</si>
  <si>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</si>
  <si>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</si>
  <si>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</si>
  <si>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</si>
  <si>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</si>
  <si>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</si>
  <si>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Bux, C; Varese, E; Amicarelli, V; Lombardi, M</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</si>
  <si>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t>
  </si>
  <si>
    <t>halal food products; certification; blockchain; food safety; sustainability; integrative literature review; PRISMA model</t>
  </si>
  <si>
    <t>Christian Bux1, Erica Varese2,*, Vera Amicarelli1and Mariarosaria Lombardi</t>
  </si>
  <si>
    <t>Halal Food Sustainability between Certification and Blockchain:A Review</t>
  </si>
  <si>
    <t>https://doi.org/10.3390/su14042152</t>
  </si>
  <si>
    <t>Islam is the second-largest religion on a global scale. All around the world Muslims areestimated to comprise more than 1.9 billion people. Therefore, the demand for Halal commoditiesis expected to reach a high growth rate: thus, it is crucial to increase its global market’s reliabilityand traceability. Based on these grounds, the scope of this paper is to assess Halal food sustainability,examining the barriers and opportunities offered by the certification and blockchain tools. To thispurpose, the authors carried out an integrative literature review, selecting 54 contributions in theWeb of Science platform. Despite several limitations, such as the lack of a standardized framework oruniversally accepted and reliable certifying authorities, the implementation of blockchain technologyhas emerged as an interesting instrument to increase the trustworthiness and traceability of Halalfoods. This tool could also help the development of protocols and standard procedures, ensuringhygienic and permitted products that may boost food safety and security. Besides, the enhancementof the Halal certification and the blockchain tool, even if several efforts are required in terms ofinnovation and cooperation by local authorities, industrial associations and leading consumers, couldenhance fair trade, ethical business, green animal breeding and environmental economics, and hencesustainable development</t>
  </si>
  <si>
    <t>halal food products; certification; blockchain; food safety; sustainability; integrativeliterature review; PRISMA model</t>
  </si>
  <si>
    <t>Wildan Fajar Bachtiar, Nur Aini Masruroh and Anna Maria Sri Asih</t>
  </si>
  <si>
    <t>Halal food sustainable traceability
framework for the meat
processing industry</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</si>
  <si>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</si>
  <si>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</si>
  <si>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</si>
  <si>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</si>
  <si>
    <t>M. Abbas; A. Y. Al-Aama</t>
  </si>
  <si>
    <t>Halal Food Verification Using Blockchain Technology: A Proposed Framework for Saudi Arabia</t>
  </si>
  <si>
    <t>https://ieeexplore.ieee.org/stamp/stamp.jsp?arnumber=10844434</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</si>
  <si>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t>
  </si>
  <si>
    <t>Blockchain;Halal food;Food supply chain;Food technology;Food safety;Traceability;Food authentication;Food verification</t>
  </si>
  <si>
    <t>Abbas M.; Al-Aama A.Y.</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</si>
  <si>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</si>
  <si>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</si>
  <si>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</si>
  <si>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Ahmad A.N.; Zulfigar S.B.; Farudz B.Z.M.; Zulkifli N.N.B.</t>
  </si>
  <si>
    <t>Halal integrity in the supply chain: The impacts of the fake Halal meat cartel scandal towards Halal integrity</t>
  </si>
  <si>
    <t>https://www.scopus.com/inward/record.uri?eid=2-s2.0-85140163991&amp;doi=10.4324%2f9781003223719-14&amp;partnerID=40&amp;md5=ead9cc62ddcaec15a3195c3ad4f1ebcd</t>
  </si>
  <si>
    <t>The fake Halal meat cartel scandal was perhaps one of the most startling events pertaining to Halal in the year 2020. Uncovered in November 2020, the scandal was first revealed to the public when a local Malaysian newspaper reported that the meat cartel had been smuggling non-Halal meat from countries such as China, Brazil, Canada and Ukraine. The initial report linked the smuggled meat with poor quality and even diseased kangaroos and horses. It was reported that upon arrival in Malaysia, these meats were mixed with beef in the warehouses before being labelled as Halal-certified beef. This chapter highlights the chronology of the event and discusses the multiple implications of this scandal to direct and indirect stakeholders. Ways forward in terms of managerial and technological approaches are offered. Multiple managerial countermeasures to ensure Halal integrity are discussed, including strengthening multiple agencies’ collaboration, international counterparts’ collaboration, training in Halal food fraud awareness and risk management, as well as supplier management. Technological approaches mentioned include the application of breakthrough technologies such as blockchain and Internet of Things (IoT) to enhance value chain transparency, improve food traceability and to inculcate trust in the Halal supply chain. © 2022 selection and editorial matter, Nor Aida Abdul Rahman, Azizul Hassan and Hajjah Zawiah Abdul Majid; individual chapters, the contributors.</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</si>
  <si>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</si>
  <si>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</si>
  <si>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</si>
  <si>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</si>
  <si>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</si>
  <si>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</si>
  <si>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</si>
  <si>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</si>
  <si>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</si>
  <si>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</si>
  <si>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</si>
  <si>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</si>
  <si>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</si>
  <si>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</si>
  <si>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</si>
  <si>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Ismail Abdi Changalima</t>
  </si>
  <si>
    <t>Halal supply chain management: A bibliometric analysis of the 100 most-cited publications from Scopus-indexed journals</t>
  </si>
  <si>
    <t>https://www.sciencedirect.com/science/article/pii/S2590291124004455</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</si>
  <si>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t>
  </si>
  <si>
    <t>Halal; Supply chain management; Halal SCM; Halal logistics; Islam; Bibliometric analysis</t>
  </si>
  <si>
    <t>Changalima I.A.</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</si>
  <si>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</si>
  <si>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</si>
  <si>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</si>
  <si>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</si>
  <si>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</si>
  <si>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</si>
  <si>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</si>
  <si>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SABRINA TARANNUM , MD. SHAH JALAL , AND MOHAMMAD NURUL HUDA</t>
  </si>
  <si>
    <t>HALALCheck: A Multi-Faceted Approach for Intelligent Halal Packaged Food Recognition and Analysis</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</si>
  <si>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</si>
  <si>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</si>
  <si>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</si>
  <si>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</si>
  <si>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</si>
  <si>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</si>
  <si>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</si>
  <si>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</si>
  <si>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</si>
  <si>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Rahman N.A.A.; Abdullah M.A.; Hassan A.; Mahroof K.</t>
  </si>
  <si>
    <t>Hard Hit by Halal Meat Cartel Controversy: How Block Chain Technology and Internet of Things (IOT) Could Help</t>
  </si>
  <si>
    <t>https://www.scopus.com/inward/record.uri?eid=2-s2.0-85176821600&amp;doi=10.4324%2f9781003368519-22&amp;partnerID=40&amp;md5=ef6b1f1a135d19a8d4780e432bf0f247</t>
  </si>
  <si>
    <t>This chapter highlight issues on fake halal meat cartel scandal which was first revealed to the public when a local Malaysian newspaper reported that the meat cartel had been smuggling non-halal meat from countries such as China, Brazil, Canada, and Ukraine. In this chapter, by using abductive research approach, this research aims to cover the issue with the help of current technology such as Internet of Things (IOT) and blockchain technology (BCT). At the same time, risk management activities and effort to promote halal food fraud awareness is also vital for halal business sustainability. The relationship across the channel member is also essential. This chapter aims to focus on technological application such as BCT and IOT to enhance value chain transparency. © 2024 selection and editorial matter, Nor Aida Abdul Rahman, Kamran Mahroof and Azizul Hassan; individual chapters, the contributors.</t>
  </si>
  <si>
    <t>Sunmola F.; Baryannis G.; Tan A.; Co K.; Papadakis E.</t>
  </si>
  <si>
    <t>Holistic Framework for Blockchain-Based Halal Compliance in Supply Chains Enabled by Artificial Intelligence</t>
  </si>
  <si>
    <t>https://www.scopus.com/inward/record.uri?eid=2-s2.0-85215806524&amp;doi=10.3390%2fsystems13010021&amp;partnerID=40&amp;md5=ad9b9f1dbe7a84776fdc9fd2f9c6f5b6</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</si>
  <si>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 © 2025 by the authors.</t>
  </si>
  <si>
    <t>artificial intelligence; blockchain; halal certification; knowledge graph; machine learning; supply chain</t>
  </si>
  <si>
    <t>Sunmola, F; Baryannis, G; Tan, A; Co, K; Papadakis, 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</si>
  <si>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</si>
  <si>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</si>
  <si>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Eng-Keng Seow, Lay-Jing Seow, Thuan-Chew Tan, Azhar Mat Easa</t>
  </si>
  <si>
    <t>Honey diastase: a natural halal enzyme and its potential application in food</t>
  </si>
  <si>
    <t>https://www.sciencedirect.com/science/article/pii/B9780323916622000223</t>
  </si>
  <si>
    <t>Honey is one of the sunnah foods that has been widely consumed due to its nutritional and therapeutic benefits. However, the halalan-toyyiban status of this “Super Food” has constantly been challenged owing to the effect of processing or intentional adulterating activities. To retain the wholesomeness of honey, the quality parameters need to be assessed and monitored. Both Codex Standard for honey and Malaysian Standard for kelulut bee honey are good and reliable references that we can refer to in order to ensure the honey meets the requirements of authentic honey. Apart from the quality assurance issues that surface, the use of honey diastase in food innovation has also been explored and discussed. The development of this diastase-innovation (i.e. honeydol and keludol) has opened up ideas and opportunities for the underexplored role of honey as a functional ingredient in food applications rather than its conventional role as a sweetener. Nevertheless, the role of honey diastase needs to be further explored and investigated compared to commercial diastase.</t>
  </si>
  <si>
    <t>Diastase; Dodol; enzyme; halal; honey; Kelulut; sunnah; superfood</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</si>
  <si>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</si>
  <si>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</si>
  <si>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</si>
  <si>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</si>
  <si>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</si>
  <si>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Ahmad A.N.; Ahmad I.A.-Z.; Hashim Y.Z.H.-Y.; Samsudin N.; Zulfigar S.B.</t>
  </si>
  <si>
    <t>How Can Halal Food Manufacturers Benefit from IR 4.0 Technology?</t>
  </si>
  <si>
    <t>https://www.scopus.com/inward/record.uri?eid=2-s2.0-85176851621&amp;doi=10.4324%2f9781003368519-11&amp;partnerID=40&amp;md5=6db2c52354e6e9f30f74a1130dad67b7</t>
  </si>
  <si>
    <t>Global economies are constantly changing due to urbanization, demographics, consumer demand, business environment, legislation, and technological advancement. As part of the larger global market, the halal food sector must be more proactive in creating and capturing value to stay resilient amidst rapid changes. One of the ways forward for food producers is to adopt the latest technologies. The technologies are important tools for not only increasing productivity but also for ensuring food safety, sustainable practices, and the integrity of halal products. This chapter discusses the applications of IR4.0 core technologies such as blockchain, Internet of Things (IoT), automation and robotics, robotic + AI/machine learning, digital twin, and augmented reality (AR) that could benefit manufacturers in ensuring the productivity, food safety, sustainability, and integrity of halal food products. © 2024 selection and editorial matter, Nor Aida Abdul Rahman, Kamran Mahroof and Azizul Hassan; individual chapters, the contributors.</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</si>
  <si>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</si>
  <si>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</si>
  <si>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</si>
  <si>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</si>
  <si>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</si>
  <si>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Ahmadov Tarlan, Durst Susanne, Eriksson Taina, Jussila Maria, Saaristo Aino</t>
  </si>
  <si>
    <t>How far has research into disruptive innovations in the field of sustainability come to date?</t>
  </si>
  <si>
    <t>https://www.sciencedirect.com/science/article/pii/S2405844024151651</t>
  </si>
  <si>
    <t>The term ‘disruptive innovation’ has been on everyone's lips for some years now, both in theory and in practice. This type of innovation is considered promising when it comes to the transition to sustainability. Based on a critical literature review comprising 121 academic articles, this study provides a systematic overview of the state of research on disruptive innovation for sustainability over 20 years. This overview makes it possible to determine whether and how an accumulation of knowledge has taken place in this area. The study reports on the selected theories, methods and definitions of the core concepts used. A thematic analysis was conducted that identified five broad themes, namely business models, people skills, supply chains, product/service development and transformations/transitions. In addition, the evolution of thematic areas over time is presented. The results indicate that there is a significant need for greater knowledge accumulation. This paper proposes concrete directions for future research to come closer to this goal.</t>
  </si>
  <si>
    <t>Disruptive innovation; Sustainability; Innovation; Sustainable development; Critical review</t>
  </si>
  <si>
    <t>Yusof</t>
  </si>
  <si>
    <t>Image Segmentation and Verification Based on
Machine Learning for Vision Inspection of Chicken
Slaughtering</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</si>
  <si>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</si>
  <si>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</si>
  <si>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</si>
  <si>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Journal of Physics:
Conference Series</t>
  </si>
  <si>
    <t>Victor Chang, Gary Wills, Patricia Baudier</t>
  </si>
  <si>
    <t>Impacts and investigations of disruptive technologies for Industry 4.0</t>
  </si>
  <si>
    <t>https://www.sciencedirect.com/science/article/pii/S004016252100665X</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</si>
  <si>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</si>
  <si>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</si>
  <si>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</si>
  <si>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</si>
  <si>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Oishwarjya Ferdous, Samuel Yousefi, Babak M. Tosarkani</t>
  </si>
  <si>
    <t>Implications of Blockchain Technology to Sustainable Supply Chain Management</t>
  </si>
  <si>
    <t>https://www.sciencedirect.com/science/article/pii/B9780323903868000899</t>
  </si>
  <si>
    <t>In the contemporary global economy, businesses depend on dynamic Supply Chains (SCs) that span various industries. The efficient management of information flows and stakeholders’ relations is required to achieve a sustainable and responsive SC. The integration of Blockchain Technology (BT) revolutionizes SC operations by providing transparent and real-time information sharing. This enables managers to effectively monitor SC activities with the aim of promoting responsible sourcing and addressing environmental concerns. Despite its potential, the BT adoption frameworks still require further improvement to facilitate the successful implementation of this technology in SCs. This study presents a comprehensive overview of the characteristics of BT that contribute to achieving sustainability in SCs, as well as the potential challenges associated with the adoption of BT.</t>
  </si>
  <si>
    <t>Blockchain technology; Challenges and opportunities; Digital transformation; Environmental sustainability; Information sharing; Social Responsibility; Supply chain management; Sustainable supply chains; Traceability; Transparency</t>
  </si>
  <si>
    <t>Sidarto L.P.; Hamka A.</t>
  </si>
  <si>
    <t>Improving Halal Traceability Process in the Poultry Industry Utilizing Blockchain Technology: Use Case in Indonesia</t>
  </si>
  <si>
    <t>https://www.scopus.com/inward/record.uri?eid=2-s2.0-85153741760&amp;doi=10.3389%2ffbloc.2021.612898&amp;partnerID=40&amp;md5=08d8ed3d53912f6adb14200bdae31c5d</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</si>
  <si>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 Copyright © 2021 Sidarto and Hamka.</t>
  </si>
  <si>
    <t>blockchain; decentralization; halal traceability; poultry; supply chains; transparency</t>
  </si>
  <si>
    <t>Sidarto, LP; Hamka, 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</si>
  <si>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</si>
  <si>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</si>
  <si>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Iwan Vanany; Nur Aini Rakhmawati; Sukoso Sukoso; Jan.Mei Soon</t>
  </si>
  <si>
    <t>Indonesian Halal Food Integrity: Blockchain Platform</t>
  </si>
  <si>
    <t>https://ieeexplore.ieee.org/abstract/document/9297968/?casa_token=8iBiUXn_0MQAAAAA:dJ6SAkwJwuHS-BER8R_TI1jhmlRuR81LucxMida2gKQhTWGn1AD-nBpazegzkrZ-5p7FaVM5QFwl</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</si>
  <si>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</si>
  <si>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
,
Integrity
,
Supply Chain
,
Blockchain</t>
  </si>
  <si>
    <t>Vanany I.; Rakhmawati N.A.; Sukoso S.; Soon J.M.</t>
  </si>
  <si>
    <t>https://www.scopus.com/inward/record.uri?eid=2-s2.0-85099640500&amp;doi=10.1109%2fCENIM51130.2020.9297968&amp;partnerID=40&amp;md5=b9a6b2a8cde35c87cc81ebf12823ecb5</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</si>
  <si>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 © 2020 IEEE.</t>
  </si>
  <si>
    <t>Blockchain; Halal Food; Integrity; Supply Chain</t>
  </si>
  <si>
    <t>I. Vanany; N. A. Rakhmawati; S. Sukoso; J. M. Soon</t>
  </si>
  <si>
    <t>https://ieeexplore.ieee.org/stamp/stamp.jsp?arnumber=9297968</t>
  </si>
  <si>
    <t>Halal Food;Integrity;Supply Chain;Blockchain</t>
  </si>
  <si>
    <t>Ghulam Qader, Muhammad Junaid, Qamar Abbas, Muhammad Shujaat Mubarik</t>
  </si>
  <si>
    <t>Industry 4.0 enables supply chain resilience and supply chain performance</t>
  </si>
  <si>
    <t>https://www.sciencedirect.com/science/article/pii/S0040162522005479</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</si>
  <si>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</si>
  <si>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</si>
  <si>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Rahman M., Md.</t>
  </si>
  <si>
    <t>Industry applications of data science and blockchain in Society 5.0</t>
  </si>
  <si>
    <t>https://www.scopus.com/inward/record.uri?eid=2-s2.0-105006526437&amp;doi=10.1016%2fB978-0-443-33498-6.00001-7&amp;partnerID=40&amp;md5=f1b6c3e6587d8fab5aec8f4b9df59d22</t>
  </si>
  <si>
    <t>This chapter examines the transformative capability of data science and blockchain technology (BCT) to bring about significant changes within Society 5.0 that prioritize human needs and use advanced technology. This chapter commences with an introduction to Society 5.0, followed by a discussion on notable progress in data science and BCT. It presents difficulties encountered by various industries, including certification, the ability to trace products, and instances of fraudulent activities. This chapter explores the transformative potential of data science and the role of BCT in improving traceability. This chapter also analyzes the incorporation of these technologies within the framework of establishing consumer. Thus, the chapter explores technological trends and their potential to align various industries, including the halal sector, with the goals of Society 5.0. Thus this chapter highlights the significance of data science and blockchain in advancing industries and promoting a more transparent, ethical, and efficient global market. © 2025 Elsevier Inc. All rights are reserved, including those for text and data mining, AI training, and similar technologies.</t>
  </si>
  <si>
    <t>big data; Blockchain; data science; halal; industry; supply chain; traceability</t>
  </si>
  <si>
    <t>Md. Mahfujur Rahman</t>
  </si>
  <si>
    <t>https://www.sciencedirect.com/science/article/pii/B9780443334986000017</t>
  </si>
  <si>
    <t>This chapter examines the transformative capability of data science and blockchain technology (BCT) to bring about significant changes within Society 5.0 that prioritize human needs and use advanced technology. This chapter commences with an introduction to Society 5.0, followed by a discussion on notable progress in data science and BCT. It presents difficulties encountered by various industries, including certification, the ability to trace products, and instances of fraudulent activities. This chapter explores the transformative potential of data science and the role of BCT in improving traceability. This chapter also analyzes the incorporation of these technologies within the framework of establishing consumer. Thus, the chapter explores technological trends and their potential to align various industries, including the halal sector, with the goals of Society 5.0. Thus this chapter highlights the significance of data science and blockchain in advancing industries and promoting a more transparent, ethical, and efficient global market.</t>
  </si>
  <si>
    <t>Blockchain; data science; big data; supply chain; traceability; industry; halal</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</si>
  <si>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</si>
  <si>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</si>
  <si>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</si>
  <si>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</si>
  <si>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</si>
  <si>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Journal of Halal Review, Vol 01 (1) 2024, pp. 12-22</t>
  </si>
  <si>
    <t>Abderahman Rejeb, Karim Rejeb, Suhaiza Zailani, Horst Treiblmaier, Karen J. Hand</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</si>
  <si>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</si>
  <si>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</si>
  <si>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</si>
  <si>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</si>
  <si>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Abderahman Rejeb a
, 
Karim Rejeb b
, 
Suhaiza Zailani c
, 
Horst Treiblmaier d
, 
Karen J. Hand e</t>
  </si>
  <si>
    <t>Halal food Supply chain Internet of Things Opportunities Challenges</t>
  </si>
  <si>
    <t>Ellahi R.M.; Wood L.C.; Khan M.; Bekhit A.E.-D.A.</t>
  </si>
  <si>
    <t>Integrity Challenges in Halal Meat Supply Chain: Potential Industry 4.0 Technologies as Catalysts for Resolution</t>
  </si>
  <si>
    <t>https://www.scopus.com/inward/record.uri?eid=2-s2.0-105002398711&amp;doi=10.3390%2ffoods14071135&amp;partnerID=40&amp;md5=07c1d1059fc66cee5886aa805c9132ad</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</si>
  <si>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 © 2025 by the authors.</t>
  </si>
  <si>
    <t>3D printing; artificial intelligence; augmented reality; big data analytics; blockchain; digital twins; halal; Internet of Things; metaverse; robotics</t>
  </si>
  <si>
    <t>Ellahi, RM; Wood, LC; Khan, M; Bekhit, AEA</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</si>
  <si>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</si>
  <si>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</si>
  <si>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Etikah Karyani, Ira Geraldina, Marissa Grace Haque, Ahmad Zahir</t>
  </si>
  <si>
    <t>Intention to adopt a blockchain-based halal certification: Indonesia consumers and regulatory perspective</t>
  </si>
  <si>
    <t>https://www.emerald.com/insight/content/doi/10.1108/jima-03-2023-0069/full/html</t>
  </si>
  <si>
    <t>Purpose – 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
Design/methodology/approach – 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
Findings – 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
Practical implications – This finding recommends that the Indonesian government apply blockchain
technology to gain transparency and accountability regarding the halal product process.Originality/value – 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</si>
  <si>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</si>
  <si>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Karyani E.; Geraldina I.; Haque M.G.; Zahir A.</t>
  </si>
  <si>
    <t>https://www.scopus.com/inward/record.uri?eid=2-s2.0-85192149667&amp;doi=10.1108%2fJIMA-03-2023-0069&amp;partnerID=40&amp;md5=4a22ed556797254e6663ce9da080b956</t>
  </si>
  <si>
    <t>Purpose: 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 Design/methodology/approach: 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 Findings: 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 Practical implications: This finding recommends that the Indonesian government apply blockchain technology to gain transparency and accountability regarding the halal product process. Originality/value: This study fills the research gap by observing three perspectives from different stakeholders and using a triangulation approach to analyze the need for adoption of blockchain-based halal certification of halal food products. © 2024, Etikah Karyani, Ira Geraldina, Marissa Grace Haque and Ahmad Zahir.</t>
  </si>
  <si>
    <t>Blockchain; Food traceability; Halal certification; Halal supply chain; Intention to adopt blockchain</t>
  </si>
  <si>
    <t>Karyani, E; Geraldina, I; Haque, MG; Zahir, A</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</si>
  <si>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</si>
  <si>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International Conference on Business and Technology,  ICBT 2021</t>
  </si>
  <si>
    <t>https://www.scopus.com/inward/record.uri?eid=2-s2.0-85136800851&amp;partnerID=40&amp;md5=ded4dee9abae989af6fdc122a1dbe819</t>
  </si>
  <si>
    <t>The proceedings contain 69 papers. The special focus in this conference is on Business and Technology. The topics include: Development of PHE-Coach–A Personalized Health E-Coaching System; mechanism of Brand Formation of the Tourism Industry During the Pandemic; improvement of the Marketing Management System of Tourism and Hospitality Industry Enterprises on the Basis of Innovations; Success Factors Affecting the Adoption of Artificial Intelligence and the Impacts of on Organizational Excellence: A Case to be Studied in the MENA Region, and Turkey in Particular; certification Mark for Sabah Handicrafts; supply Chain Sustainability Management Through Blockchain Technology in Maritime Industry; the Predilection of Courier Service Selection During Cybershopping in Malaysia; halal Tourism: A Debate Between Its Religious Values and Business Interest; A Case of Malaysia; Implementation of the E-portfolio in Teaching Practices in Malaysia IPTA; malaysian Hotel Strategy in Compliance with Local Authority; influence of Health Literacy Towards Health Communication Competence Among Kelantanese: A Comparative Study; economic and Commercial Value Comparison Between Syariah Compliant and Muslim Friendly Approach in Hotel Industry; taxonomic Manifestations of the Concept “Man” in Digital Communication; re-interpreting ‘Luxury Hospitality’ Through Experienscape, Customer Satisfaction, and Customer Well-being; delivering Future-Ready Financial Management Course for Non-finance Students Using Internet of Things (IoT); the Proclivity of Green Communication for Logistics Industry: A Framework; exploring the Financial System of Madrasas in Gujarat with Focus on Sources of Funds and Its Utilizations; a Study of Barriers to E-Commerce Adoption Among Cooperatives in Morocco; The Importance of Brand Love on SMEs Context in Indonesia; preface; foreword.</t>
  </si>
  <si>
    <t>Ali M.H.; Chung L.; Tan K.H.; Makhbul Z.M.; Zhan Y.; Tseng M.-L.</t>
  </si>
  <si>
    <t>Investigating blockchain technology adoption intention model in halal food small and medium enterprises: moderating role of supply chain integration</t>
  </si>
  <si>
    <t>https://www.scopus.com/inward/record.uri?eid=2-s2.0-85161375531&amp;doi=10.1080%2f13675567.2023.2217772&amp;partnerID=40&amp;md5=b560a5c272dee7ad36ef25dae74d0de6</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</si>
  <si>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eﬀect on intention. In addition, supply chain integration (SCI) is a moderating factor in diffusing BT. © 2023 Informa UK Limited, trading as Taylor &amp; Francis Group.</t>
  </si>
  <si>
    <t>Blockchain; halal food industry; intention to adopt; supply chain integration</t>
  </si>
  <si>
    <t>Ali, MH; Chung, LN; Tan, KH; Makhbul, ZM; Zhan, YZ; Tseng, ML</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</si>
  <si>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</si>
  <si>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</si>
  <si>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Basheer Al-haimi, Nor Arshadah Binti Abdul Kadir, Sathiasilan Subramanian, Hafifah Binti Kadir</t>
  </si>
  <si>
    <t>Lessons Learned From Small Business Policies in Malaysia and Singapore</t>
  </si>
  <si>
    <t>https://www.sciencedirect.com/science/article/pii/B9780443137013003200</t>
  </si>
  <si>
    <t>Small business policies play a crucial role in fostering economic development and inclusive growth. The effectiveness of these policies, however, hinges on several factors such as political stability, regulatory consistency, and inter-agency coordination. To gain insights into the impact of government policies on small businesses, this study focuses on lessons learned from Malaysia and Singapore. While both countries have implemented policies to support small businesses, Singapore has excelled in creating an enabling environment that facilitates small business growth, including access to funding, business networks, and regulatory support. This comparative study seeks to analyze the effects of small business policies in Malaysia and Singapore, shedding light on key success factors like political stability, regulatory consistency, and inter-agency coordination. The research methodology includes an extensive literature review of both countries. The findings of this study hold valuable implications for policymakers for other nations aspiring to foster small business entrepreneurship as a driver of economic advancement.</t>
  </si>
  <si>
    <t>Economic development; Government interventions; Inclusive growth; International business; Malaysia; Singapore; Small business policies</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</si>
  <si>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</si>
  <si>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</si>
  <si>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</si>
  <si>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</si>
  <si>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Rahman M.M.; Ahmad Z.</t>
  </si>
  <si>
    <t>Lifelong learning and technologic advancement in the halal industry: Navigating the digital age embracing technological advancements for lifelong learning</t>
  </si>
  <si>
    <t>https://www.scopus.com/inward/record.uri?eid=2-s2.0-85191815839&amp;doi=10.4018%2f979-8-3693-1410-4.ch009&amp;partnerID=40&amp;md5=62d6914b000aeca1eb621ffe80c8a216</t>
  </si>
  <si>
    <t>In the dynamic landscape of the halal industry, the blending of lifelong learning and technology stands as a transformational force. This chapter explores the crucial role of continuous learning in equipping halal industry professionals with the skills and knowledge essential for thriving in the digital age. It explores the integration of cutting-edge digital systems such as blockchain, artificial intelligence, and the internet of things (IoT) into halal industries such as certification and supply chain management, ushering in unprecedented transparency and traceability. Simultaneously, the digital revolution reshapes halal education with online courses, webinars, and mobile learning, positioning lifelong learning at its core. This transformative expedition fosters adaptability to emerging technologies, trust-building, efficiency enhancement, and a competitive edge. Navigating the digital age, lifelong learning becomes a non-negotiable necessity, linking tradition and innovation, ensuring industry efficiency, and promising a bright future for the halal industry. © 2024, IGI Global. All rights reserved.</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</si>
  <si>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</si>
  <si>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</si>
  <si>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</si>
  <si>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</si>
  <si>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</si>
  <si>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R. D. Mangruwa; A. Yunani; M. F. Nugraha; F. Tuzzahra; F. N. Syadira; N. H. Foon</t>
  </si>
  <si>
    <t>Mapping Research Blockchain Trends on Halal Supply Chain in Indonesia: a Bibliometric Analysis</t>
  </si>
  <si>
    <t>https://ieeexplore.ieee.org/stamp/stamp.jsp?arnumber=10913468</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</si>
  <si>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t>
  </si>
  <si>
    <t>blockchain;Halal Supply Chain;bibliometric</t>
  </si>
  <si>
    <t>Ardiantono, DS; Ardyansyah, GD; Sugihartanto, MF; Al Mustofa, MU; Lisdiantini, N</t>
  </si>
  <si>
    <t>Mapping the barrier and strategic solutions of halal supply chain implementation in small and medium enterprises</t>
  </si>
  <si>
    <t>PurposeThis study aims to identify the challenges, promote respective solutions and construct strategies for the implementation of the halal supply chain in Indonesia's small and medium-sized enterprises (SMEs).Design/methodology/approachThis research used the analytic network process in nine respondents categorised into three groups of relevant stakeholders: government, academia and industry.FindingsSeven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SMEs.Practical implicationsThrough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SMEs.Originality/valueTo the best of the authors' knowledge, this research is the first attempt of comprehensively mapping the barriers and developing strategic solutions to implement the halal supply chain by Indonesia's SMEs.</t>
  </si>
  <si>
    <t>Small and medium-sized enterprises; Supply chain management; Analytical network process; Halal industry</t>
  </si>
  <si>
    <t>Ardiantono D.S.; Ardyansyah G.D.; Sugihartanto M.F.; Al Mustofa M.U.; Lisdiantini N.</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</si>
  <si>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</si>
  <si>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</si>
  <si>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</si>
  <si>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</si>
  <si>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</si>
  <si>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</si>
  <si>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</si>
  <si>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</si>
  <si>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Ariffin, MFM; Hamid, MFA</t>
  </si>
  <si>
    <t>Negotiating Halal Crimes: The Use Of Block-Chain Technology</t>
  </si>
  <si>
    <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</si>
  <si>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t>
  </si>
  <si>
    <t>Blockchain; Digital Revolution; Technology; Data Networking; Halal Supply Chain</t>
  </si>
  <si>
    <t>Ariffin M.F.M.; Hamid M.F.A.</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</si>
  <si>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</si>
  <si>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</si>
  <si>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</si>
  <si>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Azizah, SN</t>
  </si>
  <si>
    <t>Online Traceability of Halal Food Information to Protect Muslim Consumers in the Cyber Era</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</si>
  <si>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t>
  </si>
  <si>
    <t>halal traceability; blockchain; halal awareness; consumer intention</t>
  </si>
  <si>
    <t>Azizah S.N.</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</si>
  <si>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</si>
  <si>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</si>
  <si>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</si>
  <si>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Firman Menne, Batara Surya, Muhammad Yusuf, Seri Suriani, Muhlis Ruslan, Iskandar Iskandar</t>
  </si>
  <si>
    <t>Optimizing the Financial Performance of SMEs Based on Sharia Economy: Perspective of Economic Business Sustainability and Open Innovation</t>
  </si>
  <si>
    <t>(https://www.sciencedirect.com/science/article/pii/S2199853122010277)</t>
  </si>
  <si>
    <t>Optimal financial performance based on the use of sharia fintech followed by the stability of Small and Medium Enterprises (SMEs) will have an impact on economic growth. This study aims to analyze the financial performance of SMEs from a sharia economic perspective; analyzing the effect of using sharia fintech on the financial performance and sustainability of SMEs and strengthening human resource capacity, business diversification, business productivity, and product marketing to improve financial performance and business sustainability of SMEs. The study uses a quantitative survey approach. Data were obtained through questionnaires distributed to 350 respondents in 15 districts in the city of Makassar. The results of the study show that human resource capacity and business diversification affect the financial performance of SMEs by 41.8%. Sharia fintech, human resource capacity, business diversification, business productivity, and financial performance have a positive effect on SME business sustainability with a determination coefficient of 65.9%. This study recommends the management of SME businesses based on the use of sharia fintech in supporting the sustainability of SME businesses in Makassar, Indonesia</t>
  </si>
  <si>
    <t>financial performance; sharia fintech; sharia economy; business sustainability; open innovation</t>
  </si>
  <si>
    <t>Moustafa Mohamed Nazief Haggag Kotb Kholaif, Wei Gu, Xinmeng Tang, Waleed Hemdan Salama</t>
  </si>
  <si>
    <t>Post-emergencies opportunities for green supply chain management and urban supply chains’ robustness; the moderating influence of blockchains as a sustainable urban resources management technique</t>
  </si>
  <si>
    <t>https://www.sciencedirect.com/science/article/pii/S0959652624030956</t>
  </si>
  <si>
    <t>Recently the modern urban society faced a lot of challenges in terms of sustainability and sustainable resource management, especially after crises that are accompanied by uncertainties like the COVID-19 pandemic. The authors investigate how new sustainable urban resource techniques, such as blockchain technologies (BCT), can moderate the relationship between uncertainty-anxiety about the global epidemic, GSC, and urban SCs' robustness in order to better understand how the pandemic can be used to improve these areas of supply chain management. The PLS-SEM approach was used to test and evaluate hypotheses based on responses from a questionnaire filled out by 446 Egyptian SMEs' managers. The results demonstrate that GSC practices are greatly enhanced by the uncertainty-anxiety posed by the epidemic. Furthermore, BCT moderates the association between pandemic uncertainty-anxiety and GSC. GSC also reinforces SCs' robustness in urban society markets. Additionally, GSC considerably influences the connection between uncertainty-anxiety about the outbreak and the robustness of urban SCs. The results of this research have far-reaching consequences for the administration of SMEs during COVID-19. To achieve the robustness of urban SCs, they demonstrate the critical need of using GSC, and BCT consistently to offer information that is both transparent and fits the demands of their stakeholders. Also, this study contributes to the theory by using the supply chain resilience, Dynamic capabilities, and crisis management theories to show how the uncertainty-anxiety of the pandemic positively affects the GSC practices and urban supply chains, and how the dynamic capabilities theory explains the innovative BCT moderating effect of such relationship.</t>
  </si>
  <si>
    <t>Sustainable urban resources management; Uncertainty-anxiety; Blockchain technologies; Green supply chain management; Urban supply chain robustness</t>
  </si>
  <si>
    <t>Lucas Antonio Risso, Gilberto Miller Devós Ganga, Moacir Godinho Filho, Luis Antonio de Santa-Eulalia, Tinhinane Chikhi, Elaine Mosconi</t>
  </si>
  <si>
    <t>Present and future perspectives of blockchain in supply chain management: a review of reviews and research agenda</t>
  </si>
  <si>
    <t>https://www.sciencedirect.com/science/article/pii/S036083522300219X</t>
  </si>
  <si>
    <t>A growing number of papers addressing blockchain to supply chain management has been found, extending the range for scholars and practitioners aiming to comprehend the state of the art is in this emerging field. Thus, we depict the current state of the art of blockchain in supply chain management and identify the main gaps to be explored in order to advance knowledge in this interplay. We employ the systematic literature review approach in a review of reviews to look into 103 review papers found in peer-reviewed scientific journals currently assigned to Scopus or Web of Science databases. Our results extend the discussion through an integrative approach that embraces blockchain technology in the context of supply chain management from multiple perspectives, encompassing the interface between physical and virtual flows beyond one-step-back and one-step-forward scope. We also consider disruptive aspects of blockchain technology as an alternative to integrate different supply chain stakeholders and provide information sharing to support both process-monitoring and decision-making in different industries and segments.</t>
  </si>
  <si>
    <t>Meta-review; Umbrella review; Blockchain; Supply chain management</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</si>
  <si>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</si>
  <si>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</si>
  <si>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</si>
  <si>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</si>
  <si>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Pei Chi Ng1 Nur Amy Syahira Ahmad Ruslan1 Ling Xuan Chin1
Musa Ahmad2 Sharina Abu Hanifah3 Zanariah Abdullah1 Sook Mei Khor1</t>
  </si>
  <si>
    <t>Recent advances in halal food authentication: Challenges
and strategies</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</si>
  <si>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</si>
  <si>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</si>
  <si>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</si>
  <si>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</si>
  <si>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Adrian Längle, Patrick Burgess, Funlade Sunmola</t>
  </si>
  <si>
    <t>Requirements Analysis for Digital Supply Chain Compliance Management Platforms: Case of German Meat Industry</t>
  </si>
  <si>
    <t>https://www.sciencedirect.com/science/article/pii/S1877050924002035</t>
  </si>
  <si>
    <t>The food industry faces increasing challenges in compliance management due to complexities such as evolving stakeholder demands and food industry standards. Digital compliance management platforms can support food supply chains in managing these complexities. It is important to capture the requirements across food supply chains to provide digital compliance management platforms that meet stakeholder needs within the chains. The study aimed to investigate the stakeholder-driven requirements of digital supply chain compliance management platforms within the German meat industry. The study was qualitative through the Delphi study approach. Prior to the Delphi study, stakeholder mapping was used to select the participants who are experts actively engaged with digital meat compliance platforms. In round 1 of the Delphi study, participants were asked to review the relevance of 51 existing requirements from a fresh fruit and vegetable digital compliance platform, with 50 requirements reaching full consensus among the participants. In the same round, the participants put nine additional requirements. In round 2 of the Delphi study, participants were asked to prioritise the nine additional requirements. Some requirements, like database connection, document versioning, and automatic document analysis, were found to influence user satisfaction, while others were less significant. This research shows that requirements transfer from the fresh produce sector to the meat sector is plausible. The transfer should recognise common requirements across sectors and incorporate those specific to the meat sector for improved user satisfaction.</t>
  </si>
  <si>
    <t>Quality management; Food Compliance; Digital Supply Chain Management; Meat Supply Chain</t>
  </si>
  <si>
    <t>Danliangmin Song, Kai Dong, Shiyu Liu, Shiqian Fu, Feng Zhao, Chaoxin Man, Yujun Jiang, Kuangyu Zhao, Bo Qu, Xinyan Yang</t>
  </si>
  <si>
    <t>Research advances in detection of food adulteration and application of MALDI-TOF MS: A review</t>
  </si>
  <si>
    <t>https://www.sciencedirect.com/science/article/pii/S0308814624017205</t>
  </si>
  <si>
    <t>Food adulteration and illegal supplementations have always been one of the major problems in the world. The threat of food adulteration to the health of consumers cannot be ignored. Food of questionable origin causes economic losses to consumers, but the potential health risks cannot be ignored. However, the traditional detection methods are time-consuming and complex. This review mainly discusses the types of adulteration and technologies used to detect adulteration. Matrix-assisted laser desorption ionization-time-of-flight mass spectrometry (MALDI-TOF MS) is also emphasized in the detection of adulteration and authenticity of origin analysis of various types of food (milk, meat, edible oil, etc.), and the future application direction and feasibility of this technology are analyzed. On this basis, MALDI-TOF MS was compared with other detection methods, highlighting the advantages of this technology in the detection of food adulteration. The future development prospect and direction of this technology are also emphasized.</t>
  </si>
  <si>
    <t>Adulteration; Food authenticity; Detection technology; Origin analysis; MALDI-TOF MS</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</si>
  <si>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</si>
  <si>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</si>
  <si>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</si>
  <si>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</si>
  <si>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</si>
  <si>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Wenbin Yu, Zhiwei Ouyang, Yufei Zhang, Yi Lu, Changhe Wei, Yayi Tu, Bin He</t>
  </si>
  <si>
    <t>Research progress on the artificial intelligence applications in food safety and quality management</t>
  </si>
  <si>
    <t>https://www.sciencedirect.com/science/article/pii/S0924224424005314</t>
  </si>
  <si>
    <t>Background
The maintenance of food safety standards is crucial for protecting public health and the economic integrity of the food industry. Artificial Intelligence (AI) is a groundbreaking tool with great potential in the field of food safety. However, its practical applications still require further exploration to fully unlock its benefits.
Scope and approach
This review synthesizes the applications of AI in food safety, focusing on microbial detection, contamination prediction, and traceability within the food supply chain. Additionally, the review discusses AI applications in food safety regulation, including risk assessment, predictive modeling, and decision support systems.
Key findings and conclusions
The integration of AI technologies into food safety practices not only enhances traditional methods of risk management but also fosters a more proactive approach to identifying and mitigating potential hazards. By leveraging AI capabilities, the food industry can significantly improve safety outcomes, reduce operational inefficiencies, and bolster consumer trust. The continued evolution of AI in this domain promises to drive innovative solutions, paving the way for smarter, more resilient food safety systems that prioritize prevention and proactive management.</t>
  </si>
  <si>
    <t>Artificial intelligence; Food safety; Machine learning; Contamination detection; Traceability; Risk assessment</t>
  </si>
  <si>
    <t>Sumarliah, E; Li, TK; Wang, BL; Khan, SU; Khan, SZ</t>
  </si>
  <si>
    <t>RETRACTED: Blockchain technology adoption in Halal traceability scheme of the food supply chain: evidence from Indonesian firms (Retracted article. See MAY, 2025)</t>
  </si>
  <si>
    <t>PurposeThe paper examines the intent to adopt blockchain-facilitated Halal traceability (BFHT) scheme in Indonesian firms' Halal food supply chain (SC). This study integrates Halal-focused attitude, innovation diffusion and institutional theories to construct the model.Design/methodology/approachData collection uses a simple random sampling method. Respondents are company leaders with experience and knowledge regarding Halal SC. The SEM-PLS approach was applied to test the hypothetical structure.FindingsThe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BFHT.Originality/valueThis research is among the initial works regarding Halal SCs that integrate Halal-focused attitude, innovation diffusion and institutional theories to recognise firms' intent to adopt a BFHT scheme.</t>
  </si>
  <si>
    <t>Supply chain; Halal food; Blockchain; Traceability; Innovation; Institutional theory</t>
  </si>
  <si>
    <t>Article; Early Access; Retracted Publication</t>
  </si>
  <si>
    <t>Asad Nawaz, Atka Afzal, Ali Khatibi, Amar Shankar, Heena Madan, Hafiza Sana Faisal, Amna Shahbaz, Ifrah Usman, Nimra Zulfiqar, Farhan Saeed, Aftab Ahmed, Ali Imran, Muhammad Afzaal, Awais karni, Faiyaz Ahmed, Noor Akram, Musarrat Rasheed, Fakhar Islam</t>
  </si>
  <si>
    <t>Role of artificial intelligence in halal authentication and traceability: A concurrent review</t>
  </si>
  <si>
    <t>https://www.sciencedirect.com/science/article/pii/S0956713524007205</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</si>
  <si>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</si>
  <si>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</si>
  <si>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Nawaz A.; Afzal A.; Khatibi A.; Shankar A.; Madan H.; Faisal H.S.; Shahbaz A.; Usman I.; Zulfiqar N.; Saeed F.; Ahmed A.; Imran A.; Afzaal M.; karni A.; Ahmed F.; Akram N.; Rasheed M.; Islam F.</t>
  </si>
  <si>
    <t>https://www.scopus.com/inward/record.uri?eid=2-s2.0-85208541169&amp;doi=10.1016%2fj.foodcont.2024.111003&amp;partnerID=40&amp;md5=40490760b268115951b03830772cb228</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</si>
  <si>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 © 2024</t>
  </si>
  <si>
    <t>AI technologies; Applications; Halal food; Quality control; Supply chain</t>
  </si>
  <si>
    <t>Nawaz, A; Afzal, A; Khatibi, A; Shankar, A; Madan, H; Faisal, HS; Shahbaz, A; Usman, I; Zulfiqar, N; Saeed, F; Ahmed, A; Imran, A; Afzaal, M; Karni, A; Ahmed, F; Akram, N; Rasheed, M; Islam, F</t>
  </si>
  <si>
    <t>Yuhong Liu, Deqing Ma, Jinsong Hu, Ziyi Zhang</t>
  </si>
  <si>
    <t>Sales mode selection of fresh food supply chain based on blockchain technology under different channel competition</t>
  </si>
  <si>
    <t>https://www.sciencedirect.com/science/article/pii/S0360835221006343</t>
  </si>
  <si>
    <t>In the era of new technology, e-commerce platforms (E-platform) have been opening up the fresh food market successively, so it is inevitable that they will face the problem of the selection of sales mode. We consider the blockchain-enabled traceability goodwill and product freshness, aiming to explore whether the E-platform chooses reselling or agency selling for fresh food in competition with different traditional retailers. Traditional retailers include both TR1 (the traditional retailer who collaborates with the supplier through a wholesale price contract) and TR2 (the traditional retailer who collaborates with the supplier through a revenue-sharing contract). Our results show, competition between traditional and online channels can lead to a higher price for fresh food and incentivize firms to invest more in product freshness and blockchain-enabled traceability goodwill, so it contributes to economical profits across the supply chain. Furthermore, in the presence of channel competition, the interaction between the E-platform sales mode and optimal strategies depends mainly on competition, the settable fee rate under agency selling and the wholesale price under reselling. Also, the rate increases can drive up the pricing and prompt the traditional retailer to expand investment in blockchain technology. However, it no longer affects the pricing when the rate equals the revenue-sharing proportion made by TR2. In addition, only when the wholesale price is higher than a certain threshold or the rate and competition meet certain conditions, double marginalization will make the pricing under reselling higher than that under agency selling. Combined with the numerical example, we further find that reselling is the dominant sales mode for fresh food with a low wholesale price regardless of the type of the traditional retailer. However, as the wholesale price rises, in addition to the wholesale price, the platform also needs to consider the impact of channel competition and the fee rate to choose the optimal sales mode, especially in a highly competitive environment.</t>
  </si>
  <si>
    <t>Multi-channel fresh food supply chain; Reselling; Agency selling; Channel competition; Differential game</t>
  </si>
  <si>
    <t>Haya R. Hasan, Ahmad Musamih, Khaled Salah, Raja Jayaraman, Mohammed Omar, Junaid Arshad, Dragan Boscovic</t>
  </si>
  <si>
    <t>Smart agriculture assurance: IoT and blockchain for trusted sustainable produce</t>
  </si>
  <si>
    <t>https://www.sciencedirect.com/science/article/pii/S0168169924005751</t>
  </si>
  <si>
    <t>Current conventional agricultural practices have exacerbated the depletion of soil, loss of biodiversity, and intensified the substantial challenges of food security including monoculture dependence, resource intensiveness, access and distribution issues. This has raised consumers awareness towards monitoring the resources of their food consumption. Nevertheless, greenwashing and deceptive food labels are prevalent leading to sales of items with misaligned labels, underpinning the need to authenticate, trace, and track the agricultural supply chain from the farm to shop. Consumers should be able to select fresh produce and verify its origin through a transparent, trustworthy, accountable, and reliable process. This paper introduces a blockchain-based solution that leverages intrinsic features of this innovative and disruptive technology to harness transparency, reliability, authenticity, and accountability within an agricultural supply chain. Additionally, our solution eliminates misleading food labels on fresh produce by enabling consumers to reliably trace and verify the origin and authenticity of the food source in a transparent manner. Through the integration of the Internet of Things (IoT), the well-being of the soil, air, and crops is consistently monitored. The sustainable solutions employed are transparent, aligning with the standards set by various sustainable food certifications and agencies, including organic, non-Genetically Modified Organisms (GMO), and Good Agricultural Practices (GAP). The paper presents detailed algorithms that represent the smart contract code, sequence diagrams along with testing results and security analysis. The smart contract code is made publicly available on GitHub.</t>
  </si>
  <si>
    <t>Food sustainability; Blockchain; IoT; Certification; Organic; Non-GMO; GAP; Trust; Traceability; Originality</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</si>
  <si>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</si>
  <si>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</si>
  <si>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</si>
  <si>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</si>
  <si>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</si>
  <si>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Nizar N.N.A.; Abidin S.A.S.Z.; Taib M.N.</t>
  </si>
  <si>
    <t>Smart Data for Sustainable Halal Supply Chain in Kuala Lumpur: A Proposal</t>
  </si>
  <si>
    <t>https://www.scopus.com/inward/record.uri?eid=2-s2.0-85153736893&amp;doi=10.1109%2fCSPA57446.2023.10087506&amp;partnerID=40&amp;md5=2bff0c2292dcaaff7512c5ae651495de</t>
  </si>
  <si>
    <t>Malaysia's capital, Kuala Lumpur, has long served as the nation's commercial centre. It is in the centre of the nation's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 © 2023 IEEE.</t>
  </si>
  <si>
    <t>halal supply chain; Kuala Lumpur; smart data; sustainability; traceability</t>
  </si>
  <si>
    <t>N. N. A. Nizar; S. A. S. Z. Abidin; M. N. Taib</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</si>
  <si>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</si>
  <si>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</si>
  <si>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</si>
  <si>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</si>
  <si>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</si>
  <si>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</si>
  <si>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</si>
  <si>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</si>
  <si>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Justin Sunny, Naveen Undralla, V. Madhusudanan Pillai</t>
  </si>
  <si>
    <t>Supply chain transparency through blockchain-based traceability: An overview with demonstration</t>
  </si>
  <si>
    <t>https://www.sciencedirect.com/science/article/pii/S0360835220305829</t>
  </si>
  <si>
    <t>Traceability can be referred to as the ability to track and trace information. Application of traceability can create transparency in supply chains. Conventionally available, centralized traceability solutions are not preferable for supply chains as they are exposed to many problems such as data manipulations, single point of failure, etc. Blockchain, the recently emerged distributed ledger technology, is gaining popularity with its tremendous applications in various fields, particularly in supply chain management. Technically, blockchain is a decentralized and distributed database where information can be securely recorded. Blockchain-based traceability solutions can tackle the shortcomings of centralized traceability solutions. Firms have already started incorporating blockchain into their supply chain activities in order to improve the transparency through tracking and tracing the events. This paper ultimately aims to present an overview of the various blockchain-based traceability solutions reported in the literature. Primarily, this work provides an insight on the possibilities of blockchain traceability solutions in making a supply chain transparent. Apart from this, it analyses how blockchain traceability solutions affect the visibility of various supply chain distribution network designs, and gives an outline on how technologies such as the Internet of Things (IoT), and smart contracts elevate the opportunities of blockchain. In order to demonstrate how blockchain traceability solutions improve supply chain transparency, a Proof of Concept (PoC) for a cold chain scenario is presented using Microsoft Azure Blockchain Workbench.</t>
  </si>
  <si>
    <t>M. S. Hartawan; M. Maharani; E. Krisnanik; H. Saragih; A. A. Rahman</t>
  </si>
  <si>
    <t>Sustainability of Key Performance Indicators (KPI) Halal Eco-Tourism Information System</t>
  </si>
  <si>
    <t>https://ieeexplore.ieee.org/stamp/stamp.jsp?arnumber=10017707</t>
  </si>
  <si>
    <t>The use of information system related halal is not only used for the food industry but also in several other sectors including halal ecotourism. The purpose of this study is to calculate the sustainability index of the Main Performance Indicators of the Halal Agro Ecotourism Information System. The research took place in Rancamaya Bogor in 2021 and covered an area of 8.845 hectares. Data and information were obtained from interviews, questionnaires, field observations, and focus group discussions (FGD) five times with bureaucrats, technocrats, and business people. The examination of 15 attributes was analyzed using the multidimensional scaling (MDS) method. The results of the Key Performance Indicators of Halal Eco-Tourism Information System provided a sustainability index value of 57.50% (being fairly sustainable). As a leverage attributes are Information on improving the traceability of a halal food product (syar'i and scientific) with Root Mean Square (RMS) value of 4.29, Information on improving the comfort of moslem tourists with RMS 4.10 and Information on increasing moslem tourists confidence with RMS 4.02. Attributes are proposed as component of the halal ecotourism competitiveness index.</t>
  </si>
  <si>
    <t>information-system;KPI;sustainability;halal;ecotourism</t>
  </si>
  <si>
    <t>Payam Hanafizadeh, Maryam Alipour</t>
  </si>
  <si>
    <t>Taxonomy of theories for blockchain applications in business and management</t>
  </si>
  <si>
    <t>https://www.sciencedirect.com/science/article/pii/S2666954424000085</t>
  </si>
  <si>
    <t>The rising prominence of blockchain technology has spurred researchers to delve deeper into its applications through the lens of organizational and management theories. Our thematic analysis of blockchain literature reveals examination across five key areas: economic, strategic, operational, behavioral, and implementation considerations, each viewed through various theoretical perspectives. The multifaceted nature of blockchain phenomena necessitates diverse types of theory and research questions. Thus, the unique characteristics within each area stimulate the formulation of inquiries that address a system of research questions about what, how, why, when, where, what will be, and how to do. Existing literature predominantly emphasizes explanatory and predictive type of theories, notably expanding research topics such as blockchain adoption behavior. However, this singular focus limits the exploration of diverse reasoning approaches suited to blockchain's complexity. Our study illustrates how different types of theory contribute to understanding each of the identified blockchain application areas. Based on our findings, we propose pertinent questions that highlight the need for varied theoretical frameworks and address specific issues within each application area. Furthermore, we recommend appropriate type of theories to address these questions, fostering a more multi-perspective investigation across the breadth of blockchain-related research topics and areas. By embracing diverse theoretical perspectives, we aim to create a more balanced research landscape, facilitating deeper insights into blockchain phenomena.</t>
  </si>
  <si>
    <t>Blockchain applications; Management theory; Organizational theory; Theory taxonomy</t>
  </si>
  <si>
    <t>Rahman N.A.A.; Mahroof K.; Hassan A.</t>
  </si>
  <si>
    <t>Technologies and Trends in the Halal Industry</t>
  </si>
  <si>
    <t>https://www.scopus.com/inward/record.uri?eid=2-s2.0-85176830534&amp;doi=10.4324%2f9781003368519&amp;partnerID=40&amp;md5=107dee62341c4697684ea4c135d5e46a</t>
  </si>
  <si>
    <t>With recent technological developments, touted also as Industry 4.0, numerous articles published over the years have emphasized the need to investigate the role of technology across all sectors including the halal industry. This book provides a greater understanding of the technologies, trends, and debates associated with the halal industry from different sectors such as food, logistics, pharmaceutical, tourism, medical, cosmetic, and the retail sector. The book adds substantial discussion to the issues and trends of technology applications in the halal industry as well as the theories underpinning halal technology studies. It is in four sections: an overview of the halal industry, selected theories, technology, and recent issues. The contributors explore how technology has evolved and been applied in industry, and also look at how Industry 4.0 technologies like blockchain, Internet of Things (IoT), automation, machine learning, and augmented reality are being integrated in the halal supply chain process. Written by well- regarded scholars and international academics from Africa, Europe, Middle East, and Asia, this book provides expert contributions from research, regulatory, and industry perspectives. This book will interest upper level students, scholars, academics, and practitioners in the various discipline of tourism and travel, hospitality, food studies, marketing, pharmaceutical and medical, logistics, management, Islamic studies and information technology in the halal industry. © 2024 selection and editorial matter, Nor Aida Abdul Rahman, Kamran Mahroof and Azizul Hassan; individual chapters, the contributors.</t>
  </si>
  <si>
    <t>Book</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</si>
  <si>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</si>
  <si>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</si>
  <si>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</si>
  <si>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</si>
  <si>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</si>
  <si>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Wan-Chik R.Z.; Khairuddin M.M.B.; Rahman N.A.A.</t>
  </si>
  <si>
    <t>Technology Application in Halal Logistics: Transport and Warehouse Perspective</t>
  </si>
  <si>
    <t>https://www.scopus.com/inward/record.uri?eid=2-s2.0-85176868318&amp;doi=10.4324%2f9781003368519-18&amp;partnerID=40&amp;md5=aa4cabab7fa15cd443708c2e2fbeb700</t>
  </si>
  <si>
    <t>Halal logistics is the implementation of the halal concept across the supply chain, from supplier activity to production, warehousing, transportation, and distribution of products, to ensure the integrity of the halal products. This involves the process of managing the products as well as the associated information and certification flow throughout the supply chain from the raw materials to the end user in accordance with halal standards based on Islamic Sharia law. This chapter describes the technology adoption in halal logistics with a specific focus on the area of halal transport and warehouse. The use of technology such as traceability and tracking systems could improve halal service and product quality while also providing transparency and improved control throughout the logistics process. Product identification using RFID, location tracking using GPS, and data management and communication using Internet of Things and blockchain have been identified as critical factors in developing a traceability and tracking system in halal logistics. The findings in this chapter will contribute to the halal logistics and halal supply chain body of knowledge. It may serve as awareness for halal managers on the importance of using technology in implementing halal logistics throughout the supply chain in ensuring the halal integrity. The chapter provides theoretical, practitioner and recommendations for future halal logistics and halal supply chain research. © 2024 selection and editorial matter, Nor Aida Abdul Rahman, Kamran Mahroof and Azizul Hassan; individual chapters, the contributors.</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</si>
  <si>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</si>
  <si>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</si>
  <si>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</si>
  <si>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</si>
  <si>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</si>
  <si>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Viachaslau Filimonau, Elena Naumova</t>
  </si>
  <si>
    <t>The blockchain technology and the scope of its application in hospitality operations</t>
  </si>
  <si>
    <t>https://www.sciencedirect.com/science/article/pii/S0278431919306024</t>
  </si>
  <si>
    <t>The recently emerged concept of the blockchain technology (BCT) can disrupt the traditional realm of tourism and hospitality operations. While some research has looked into the implications of BCT for tourism management and marketing, no studies have explicitly considered the scope of its application in the context of hospitality operations management. This is arguably a major omission as available evidence points at the foremost potential of BCT to affect the nature of hospitality business. This study partially plugs this knowledge gap and, by reviewing examples of existing applications of BCT in various economic sectors and across different consumption markets, evaluates its potential for future integration into hospitality operations management. The framework of prospective use of BCT in the hospitality industry alongside the related organisational, institutional and technological challenges that need to be overcome for its wider industrial adoption are outlined.</t>
  </si>
  <si>
    <t>Digital technology; Disruptive innovation; Blockchain; Operations management; Supply chain management</t>
  </si>
  <si>
    <t>Hew, JJ; Wong, LW; Tan, GWH; Ooi, KB; Lin, BS</t>
  </si>
  <si>
    <t>The blockchain-based Halal traceability systems: a hype or reality?</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</si>
  <si>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t>
  </si>
  <si>
    <t>Innovation; Supply-chain management; Food industry; Food security; Blockchain; Food traceability systems; Halal orientation strategy; Institutional theory; Diffusion of innovation theory</t>
  </si>
  <si>
    <t>Hew J.-J.; Wong L.-W.; Tan G.W.-H.; Ooi K.-B.; Lin B.</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</si>
  <si>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</si>
  <si>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</si>
  <si>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</si>
  <si>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Mohi-ud-Din Qadri H.</t>
  </si>
  <si>
    <t>The Global Halal Industry: A Research Companion</t>
  </si>
  <si>
    <t>https://www.scopus.com/inward/record.uri?eid=2-s2.0-85195598467&amp;doi=10.4324%2f9781003441540&amp;partnerID=40&amp;md5=c09cf341e37358abe4a1be6438744f2c</t>
  </si>
  <si>
    <t>The word ‘Halal’ translates to ‘permissible’ in English, though it encapsulates a broader meaning that goes beyond permissibility and impermissibility. Halal incorporates hygiene, cleanliness, legality, compliance, ethics as well as cultural aspects. This book provides a holistic overview of the relevant concepts but also covers Shariah, commercial, regulatory and technological aspects of the global Halal industry. It is not confined to a specific region, country or sector, rather it gives a comprehensive summary of the developments and growth across all sectors of the Halal industry, at the regional but also the global level. It is a well-researched and accessible volume which sets out to demystify some of the more challenging areas and offers an in-depth synopsis of each of the research questions it answers. The book also contributes a series of chapters with specialized treatment. It explores the key Shariah issues and guiding principles of Islamic law, technical know-how within various sectors such as Halal food, tourism, cosmetics, pharma, logistics, supply chain, media &amp; fashion and offers a discussion on Artificial intelligence, quantum technology, and blockchain in different sectors of the Halal industry. Moreover, this work proposes viable solutions to the challenges faced by the industry such as the harmonization of Halal standards. Beneficial to audiences of all levels from beginners to advanced, it will be a handy reference for researchers and advanced students studying Islamic business and economics, Halal management, nutritional sciences, tourism, media, fashion and pharmaceuticals. It will also be of benefit to practitioners, policymakers and legal and standard-setting bodies. © 2024 Hussain Mohi-ud-Din Qadri. All rights reserved.</t>
  </si>
  <si>
    <t>Vahid Hajipour, Seyed Taghi Akhavan Niaki, Majid Akhgar, Mehdi Ansari</t>
  </si>
  <si>
    <t>The healthcare supply chain network design with traceability: A novel algorithm</t>
  </si>
  <si>
    <t>(https://www.sciencedirect.com/science/article/pii/S0360835221005659)</t>
  </si>
  <si>
    <t>Both governments and health-related organizations must immediately act after a natural disaster happened, i.e., providing essential equipment and medicines to injured people as soon as possible and adequately. To achieve this goal, planning the distribution and the inventory of crucial items during a scenario of disasters, a relief supply chain network with four echelons, namely suppliers, warehouses, disaster locations, and medical centers, is designed. In this work, a bi-objective nonlinear mathematical model that follows two main concerns is proposed. First, we wish to minimize the supply chain costs in terms of both the traveling time between echelons and the inventory costs. Second, we are to maximize the number of undamaged items that demand points receive by employing the RFID technology. The multi-objective Vibration Damping Optimization (MOVDO) meta-heuristic algorithm is applied to solve the proposed problem. This algorithm's performance is compared with two other algorithms: Non-dominated Sorting Genetic (NSGA-II) and Non-Dominated Ranking Genetic (NRGA) algorithms. The analysis of the results confirms that MOVDO outperforms the other two algorithms.</t>
  </si>
  <si>
    <t>Healthcare systems; Supply chain; Facility location; Inventory planning; Traceability</t>
  </si>
  <si>
    <t>Patrizio Giganti, Massimiliano Borrello, Pasquale Marcello Falcone, Luigi Cembalo,</t>
  </si>
  <si>
    <t>The impact of blockchain technology on enhancing sustainability in the agri-food sector: A scoping review</t>
  </si>
  <si>
    <t>https://www.sciencedirect.com/science/article/pii/S0959652624018274</t>
  </si>
  <si>
    <t>Blockchain technology has the potential to address sustainability challenges in the agri-food industry. This scoping review analyzes 72 papers and finds that blockchain technology can enhance economic, environmental, and social sustainability. By reducing transaction costs, improving transparency, and empowering consumers, it contributes to economic sustainability. Environmental sustainability is enhanced through carbon emissions reduction, waste management, and better environmental impact monitoring. Social sustainability is promoted through food safety, consumer trust, and financial inclusion for small farmers. However, unexplored avenues like obstacle identification, localized solutions, consumer trust factors, crisis resilience, environmental implications, and fair market access require further research. The transformative potential of blockchain in the agri-food industry requires interdisciplinary collaboration to fully harness its benefits for a more sustainable future.</t>
  </si>
  <si>
    <t>Blockchain adoption; Sustainable agriculture; Food supply chain; Review methodology; PRISMA</t>
  </si>
  <si>
    <t>Zahari H.M.; Zain R.M.</t>
  </si>
  <si>
    <t>The Impact of the Theory of Planned Behaviour (TPB) and the Theory of Reasoned Action (TRA) on the Growing Field of Halal Technology</t>
  </si>
  <si>
    <t>https://www.scopus.com/inward/record.uri?eid=2-s2.0-85207573473&amp;doi=10.1007%2f978-981-97-1375-2_6&amp;partnerID=40&amp;md5=4d8538f9ab3d1423cf3f57b29d3d3b20</t>
  </si>
  <si>
    <t>The significant level of consumer interest in Halal products has led to a surge in demand within the Halal sector. The market for Halal products has expanded outside the Muslim community, as non-Muslims are increasingly favouring these products due to their perceived cleanliness and transparent sourcing of raw materials. The observed tendency holds considerable significance within the frameworks of the Theory of Planned Behavior and the Theory of Reasoned Action. Nevertheless, the demand for Halal products has a continuous upward progress, with an increasing number of producers expressing a heightened interest in expanding their product offerings. The utilisation of technology can facilitate the preservation and verification of data, which is crucial in meeting one of the requirements for Halal certification, namely the provision of a clear source. The utilisation of technological advancements such as Blockchain, Internet of Things (IoT), Artificial Intelligence (AI) and RFID has significantly facilitated Halal manufacturers in effectively adapting to evolving consumer demands, while simultaneously upholding the consistent integrity of Halal products and services. © The Editor(s) (if applicable) and The Author(s), under exclusive license to Springer Nature Singapore Pte Ltd. 2024.</t>
  </si>
  <si>
    <t>Artificial Intelligence (AI); Blockchain; Halal technology; Internet of Things (IoT); RFID; Theory of planned behaviour; Theory of reasoned action</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</si>
  <si>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</si>
  <si>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</si>
  <si>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</si>
  <si>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</si>
  <si>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</si>
  <si>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Muskan Kumari Gupta, Vinay Balodi, Abhishek Dutt Tripathi,  Rizwana, Aparna Agarwal, Nilesh Prakash Nirmal</t>
  </si>
  <si>
    <t>The importance of labeling and certification: ensuring quality and transparency</t>
  </si>
  <si>
    <t>https://www.sciencedirect.com/science/article/pii/B9780443288623000224</t>
  </si>
  <si>
    <t>As one of the fastest growing food markets in the world, it has become paramount to uphold the quality of labeling functional foods accurately and clearly. The chapter examines how the industry is confronted with labeling practices at global and regional levels, the regulatory conditions from both Indian and international perspectives, the conformance of labeling regulations, effective communication through labeling to consumers and the concern of mislabeling, along with third-party certification processes to give assurance, confidence, and to promote transparency. Educating consumers to read nutritional or ingredient panels and use the information to guide buying decisions is equally important, as labeling is an option for whether products are sold without a prescription. The chapter provides case studies of the science of labeling, certification, and regulatory contexts that consider new opportunities around labeling to further establish consumer confidence.</t>
  </si>
  <si>
    <t>Transparency; Certification standards</t>
  </si>
  <si>
    <t>Foivos Anastasiadis, Ioannis Manikas, Ioanna Apostolidou, Sabreen Wahbeh</t>
  </si>
  <si>
    <t>The role of traceability in end-to-end circular agri-food supply chains</t>
  </si>
  <si>
    <t>https://www.sciencedirect.com/science/article/pii/S0019850122000955</t>
  </si>
  <si>
    <t>The transition to a circular supply chain is a prerequisite for the agri-food sector to address growing consumer pressure for sustainability while meeting the required standards of quality and safety. Although traceability systems contribute notably to agri-food sustainability, their function as a core mechanism for monitoring and managing the transition from linear to circular supply chains has been neglected. Our objective in this study is to explore the role of traceability in the transition to sustainability-driven circular agri-food supply chains. We employ an end-to-end supply chain investigation, using a consumer-focused survey and a Delphi study of supply chain stakeholders from farm to shelf. Our results suggest that traceability plays a pivotal role in this process. The acceptance of traceability systems begins with the consumer and moves upstream, from fork to farm, acting as a catalyst through stakeholders' adoption towards a circular economy. A change at the consumer level drives changes in the supply chain and eventually at the company level. This study is the first to introduce a traceability angle to the current literature on sustainable agri-food supply chains and its transition to the circular economy.</t>
  </si>
  <si>
    <t>Categorical regression; Holistic approach; Blockchain; Greece; Consumer centric supply chain</t>
  </si>
  <si>
    <t>Nida Khan, Bilal Kchouri, Nissar Ahmad Yatoo, Zsofia Kräussl, Anass Patel, Radu State</t>
  </si>
  <si>
    <t>Tokenization of sukuk: Ethereum case study</t>
  </si>
  <si>
    <t>https://www.sciencedirect.com/science/article/pii/S1044028319303552</t>
  </si>
  <si>
    <t>Sukuk is a financial instrument that provides returns similar to conventional bonds. It has served to cater to the capital requirements of big corporations and governments, while circumventing interest to adhere to the Shariah law. Sukuk can be touted as Shariah-compliant bonds that rank among the most successful and the fastest growing financial instrument in the Islamic economy. The sukuk research area is marked by a dearth of quantitative literature, compared to qualitative academic work. This paper seeks to fill this existing gap, and introduces a novel, exploratory analysis of sukuk tokenization based on a case study. The funding needs of small and medium enterprises remains largely unmet through sukuk on account of the high costs involved, among other reasons. As we show in this paper, blockchains can aid to lower the cost incurred through the tokenization of sukuk. We highlight some of the key challenges involved in the issuance of sukuk and discuss their resolution using blockchain. We also provide a taxonomy of blockchain applications in finance, with a particular focus on Islamic finance. Our paper reviews different blockchain architectures to assess their viability for tokenization. We conduct a novel case study on sukuk tokenization by implementing a basic smart contract for Sukuk al-Murabaha on Ethereum. The paper concludes by a conceptual analysis of feasibility concerns, based on a comparison of the conducted cost-benefit analysis of conventional sukuk issuance with tokenization.</t>
  </si>
  <si>
    <t>Sukuk; Blockchain; Ethereum; Tokenization; Smart contract; Cost-benefit analysis</t>
  </si>
  <si>
    <t>Masudin, I; Rahmatullah, BB; Agung, MA; Dewanti, IA; Restuputri, DP</t>
  </si>
  <si>
    <t>Traceability System in Halal Procurement: A Bibliometric Review</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</si>
  <si>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t>
  </si>
  <si>
    <t>traceability; procurement; halal; halal suppliers; halal logistics</t>
  </si>
  <si>
    <t>Masudin I.; Rahmatullah B.B.; Agung M.A.; Dewanti I.A.; Restuputri D.P.</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</si>
  <si>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</si>
  <si>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</si>
  <si>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</si>
  <si>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A. Shuib; I. Ibrahim; F. H. Yusoff</t>
  </si>
  <si>
    <t>Traceability System of Halal Chicken Supply Chain</t>
  </si>
  <si>
    <t>https://ieeexplore.ieee.org/stamp/stamp.jsp?arnumber=9515246</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</si>
  <si>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t>
  </si>
  <si>
    <t>Halal meat supply chain;Halal traceability system;Halal chicken meat supply chain;broiler;blockchain technology;QR code;IoT;RFID</t>
  </si>
  <si>
    <t>Shuib A.; Ibrahim I.; Yusoff F.H.</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</si>
  <si>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</si>
  <si>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</si>
  <si>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</si>
  <si>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Ismail S.; Nazarudin N.; Francis F.J.; Muhamad M.Z.</t>
  </si>
  <si>
    <t>Traceability-Technology-Training (3T) Framework for Halal Logistics at Small Medium Enterprises</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</si>
  <si>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</si>
  <si>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</si>
  <si>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</si>
  <si>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S. Ismail; N. Nazarudin; F. J. Francis; M. Z. Muhamad</t>
  </si>
  <si>
    <t>https://ieeexplore.ieee.org/stamp/stamp.jsp?arnumber=9617030</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</si>
  <si>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t>
  </si>
  <si>
    <t>halal logistics;halal traceability;small and medium enterprises;fourth industry revolution (4IR);blockchain technology;supply chain management</t>
  </si>
  <si>
    <t>Ahamed N.N.; Vignesh R.; Alam T.</t>
  </si>
  <si>
    <t>Tracking and tracing the halal food supply chain management using blockchain, RFID, and QR code</t>
  </si>
  <si>
    <t>https://www.scopus.com/inward/record.uri?eid=2-s2.0-85175651613&amp;doi=10.1007%2fs11042-023-17474-4&amp;partnerID=40&amp;md5=ca65d1007e4f868cedc30b105ede1799</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</si>
  <si>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 © The Author(s), under exclusive licence to Springer Science+Business Media, LLC, part of Springer Nature 2023.</t>
  </si>
  <si>
    <t>Blockchain; Halal Food; QR Code; RFID; Smart Contract</t>
  </si>
  <si>
    <t>N. Nasurudeen Ahamed, R. Vignesh &amp; Tanweer Alam</t>
  </si>
  <si>
    <t>https://link.springer.com/article/10.1007/s11042-023-17474-4</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</si>
  <si>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</si>
  <si>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Food Production
Food Security
Sociology of Food and Nutrition
Supply Chain Management
Blockchain</t>
  </si>
  <si>
    <t>Ahamed, NN; Vignesh, R; Alam, T</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</si>
  <si>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</si>
  <si>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</si>
  <si>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</si>
  <si>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</si>
  <si>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</si>
  <si>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</si>
  <si>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</si>
  <si>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</si>
  <si>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Imen Khanchel, Naima Lassoued, Cyrine Khiari</t>
  </si>
  <si>
    <t>Tripartite dynamics: Financial inclusion, microfinance, and financial technology</t>
  </si>
  <si>
    <t>https://www.sciencedirect.com/science/article/pii/B9780443137761003354</t>
  </si>
  <si>
    <t>Financial inclusion, microfinance institutions (MFIs) and financial technologies (FinTech) represent a dynamic and potentially valuable triple bottom line for underserved populations. This synergy boosts access to essential financial services, improves the operational efficiency of MFIs and stimulates economic growth. While FinTechs offer innovative solutions to the unique challenges faced by MFIs, their adoption is not without challenges. In order to make the most of the potential of this innovative interaction, stakeholder cooperation is crucial. By developing the right regulatory frameworks, providing robust data protection and building institutional capacity, MFIs can take advantage of FinTech to create a more inclusive financial ecosystem.</t>
  </si>
  <si>
    <t>: FinTech; Microfinance institutions; Digital infrastructure; Social performance; Financial performance; Governance</t>
  </si>
  <si>
    <t>Tieman M.; Darun M.R.; Fernando Y.; Ngah A.B.</t>
  </si>
  <si>
    <t>Utilizing blockchain technology to enhance halal integrity: The perspectives of halal certification bodies</t>
  </si>
  <si>
    <t>https://www.scopus.com/inward/record.uri?eid=2-s2.0-85068234494&amp;doi=10.1007%2f978-3-030-23381-5_9&amp;partnerID=40&amp;md5=6bba1e94eaa08d036799f8a198a92e9c</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</si>
  <si>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 © Springer Nature Switzerland AG 2019.</t>
  </si>
  <si>
    <t>Blockchain technology; Halal certification bodies (HCBs); Halal supply chain</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</si>
  <si>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</si>
  <si>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</si>
  <si>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</si>
  <si>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</si>
  <si>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Kianmehr Shirooyehpoor, Parvaneh Samouei</t>
  </si>
  <si>
    <t>Virtual Closed-Loop Supply Chain Considering Secondary Markets, Internet of Things and Reliability</t>
  </si>
  <si>
    <t>https://www.sciencedirect.com/science/article/pii/S0360835224009380</t>
  </si>
  <si>
    <t>Today, due to the progress of manufacturing industries, the increase of physical limitations, and the growing needs of customers, many of the traditional supply chains cannot trade and compete at international levels. Therefore, in this article, a virtual closed-loop supply chain has been designed using the secondary market and the Internet of Things (IoT) to overcome limitations. Because products are returned in this network, a secondary market approach has been used for returned products. By utilizing RFID tags, it becomes possible to identify and track each product to use their changeable or repairable pieces and parts after disassembling to manufacture some products with different prices and qualities for the secondary market. Hence, few pieces are expected to be destroyed, and less environmental damage will occur while costs will be reduced. The objective functions of the model are total profit maximization, system reliability in the face of power and internet disruptions maximization, and data registration and processing speed maximization by reducing latency. Numerical examples and parameter sensitivity analysis are solved using the LP-Metrics method and within large dimensions using three NSGA-II, SPEA2, and MOEA/D algorithms. The efficiency of these algorithms is evaluated based on five indicators. Statistical analyses indicate that these algorithms are not significantly different in terms of four indicators at a significance level of 5%. In contrast, the MOEA/D algorithm is different from the other algorithms regarding the NPS index.</t>
  </si>
  <si>
    <t>Virtual Closed-Loop Supply Chain; Secondary Market; Internet of Things; Metaheuristic Algorithms; RFID Tag; Reliability</t>
  </si>
  <si>
    <t>Susan Yuko Higashi, Silvia Morales de Queiroz Caleman, Luis Kluwe de Aguiar, Louise Manning</t>
  </si>
  <si>
    <t>What causes organizations to fail? A review of literature to inform future food sector (management) research</t>
  </si>
  <si>
    <t>https://www.sciencedirect.com/science/article/pii/S0924224420304726</t>
  </si>
  <si>
    <t>Background
Organizational failure in food markets is a potential threat to food security. Thus, a greater understanding of the factors that influence organizational failure and reduce supply chain resilience is essential to underpin agile and dynamic food supply chains.
Scope and approach
The aim of this paper is to contribute to the understanding of system level factors that influence organizational failure in food supply chains in order to conceptualize the horizontal and vertical interaction of such factors at the three levels described: the micro system, the meso system and the macro system level. A systematic review, based on a specific search strategy, incorporated articles from the fields of management, business and economics research. Whilst 616 articles were initially identified, only 41 of these were within the established inclusion criteria and reviewed. A model of organizational failure, determined here as “The House of Cards Model”, is developed, that can then be empirically tested in further research.
Key findings and conclusions
A hierarchy was developed to contextualize the factors deemed to be of influence. The macro (external environment) level includes criteria such as economic conditions, formal institutions, government policies, competitors and rumors. The factors addressed in the meso (organizational) level include organization age and size, location, property structure, client, supplier and shareholder relationships, financial resources, physical resources, human resources and succession process. At the micro (individual) level the managers’ skill, characteristics, actions and mindset are of influence. This paper contributes to advancing the debate and underpins further empirical research on organizational failure in food supply chains.</t>
  </si>
  <si>
    <t>Organizational; Failure; Meso; Micro; Macro;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</si>
</sst>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2"/>
      <name val="Segoe UI"/>
      <family val="2"/>
    </font>
    <font>
      <sz val="12"/>
      <name val="Times New Roman"/>
      <family val="1"/>
    </font>
    <font>
      <b/>
      <sz val="12"/>
      <name val="Times New Roman"/>
      <family val="1"/>
    </font>
    <font>
      <sz val="11"/>
      <name val="Calibri"/>
      <family val="2"/>
      <scheme val="minor"/>
    </font>
    <font>
      <u/>
      <sz val="12"/>
      <name val="Times New Roman"/>
      <family val="1"/>
    </font>
    <font>
      <u/>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applyAlignment="1">
      <alignment horizontal="center" vertical="center"/>
    </xf>
    <xf numFmtId="0" fontId="3" fillId="2" borderId="0" xfId="0" applyFont="1" applyFill="1"/>
    <xf numFmtId="0" fontId="3" fillId="2" borderId="0" xfId="0" applyFont="1" applyFill="1" applyAlignment="1">
      <alignment horizontal="center" vertical="center"/>
    </xf>
    <xf numFmtId="0" fontId="4" fillId="0" borderId="0" xfId="0" applyFont="1"/>
    <xf numFmtId="0" fontId="4" fillId="0" borderId="0" xfId="0" applyFont="1" applyAlignment="1">
      <alignment horizontal="center" vertical="center"/>
    </xf>
    <xf numFmtId="0" fontId="5" fillId="0" borderId="0" xfId="0" applyFont="1"/>
    <xf numFmtId="0" fontId="3" fillId="0" borderId="0" xfId="0" applyFont="1"/>
    <xf numFmtId="0" fontId="6" fillId="0" borderId="0" xfId="1" applyFont="1"/>
    <xf numFmtId="0" fontId="3" fillId="0" borderId="0" xfId="0" applyFont="1" applyAlignment="1">
      <alignment horizontal="center" vertical="center"/>
    </xf>
    <xf numFmtId="0" fontId="7" fillId="0" borderId="0" xfId="1" applyFont="1"/>
    <xf numFmtId="0" fontId="5" fillId="0" borderId="0" xfId="0" applyFont="1" applyAlignment="1">
      <alignment horizontal="center" vertical="center"/>
    </xf>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ournals.alqasimia.ac.ae/index.php/ie/article/view/373" TargetMode="External"/><Relationship Id="rId13" Type="http://schemas.openxmlformats.org/officeDocument/2006/relationships/hyperlink" Target="https://link.springer.com/article/10.1007/s11042-023-17474-4" TargetMode="External"/><Relationship Id="rId18" Type="http://schemas.openxmlformats.org/officeDocument/2006/relationships/hyperlink" Target="https://arxiv.org/abs/2410.07305" TargetMode="External"/><Relationship Id="rId26"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3" Type="http://schemas.openxmlformats.org/officeDocument/2006/relationships/hyperlink" Target="https://doi.org/10.1109/AICAI.2019.8701321" TargetMode="External"/><Relationship Id="rId21" Type="http://schemas.openxmlformats.org/officeDocument/2006/relationships/hyperlink" Target="https://acta.sze.hu/index.php/acta/article/view/467" TargetMode="External"/><Relationship Id="rId7"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2" Type="http://schemas.openxmlformats.org/officeDocument/2006/relationships/hyperlink" Target="https://link.springer.com/article/10.1007/s41870-023-01650-8" TargetMode="External"/><Relationship Id="rId17" Type="http://schemas.openxmlformats.org/officeDocument/2006/relationships/hyperlink" Target="https://www.jstage.jst.go.jp/article/jaalr/3/2/3_9/_article/-char/ja/" TargetMode="External"/><Relationship Id="rId25" Type="http://schemas.openxmlformats.org/officeDocument/2006/relationships/hyperlink" Target="https://doi.org/10.1016/j.clscn.2023.100096" TargetMode="External"/><Relationship Id="rId2" Type="http://schemas.openxmlformats.org/officeDocument/2006/relationships/hyperlink" Target="https://doi.org/10.1016/j.techfore.2021.120870" TargetMode="External"/><Relationship Id="rId16" Type="http://schemas.openxmlformats.org/officeDocument/2006/relationships/hyperlink" Target="https://www.researchgate.net/profile/Munawar-Munawar-4/publication/380940676_Framework_for_smart_contract_blockchain_in_halal_traceability_integrity_and_transparency/links/6657244822a7f16b4f55e914/Framework-for-smart-contract-blockchain-in-halal-traceability-integrity-and-transparency.pdf" TargetMode="External"/><Relationship Id="rId20" Type="http://schemas.openxmlformats.org/officeDocument/2006/relationships/hyperlink" Target="https://www.tandfonline.com/doi/abs/10.1080/21681015.2022.2040622" TargetMode="External"/><Relationship Id="rId29"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1" Type="http://schemas.openxmlformats.org/officeDocument/2006/relationships/hyperlink" Target="https://www.emerald.com/insight/content/doi/10.1108/jima-03-2023-0069/full/html" TargetMode="External"/><Relationship Id="rId6" Type="http://schemas.openxmlformats.org/officeDocument/2006/relationships/hyperlink" Target="https://link.springer.com/chapter/10.1007/978-981-97-5400-7_7" TargetMode="External"/><Relationship Id="rId11" Type="http://schemas.openxmlformats.org/officeDocument/2006/relationships/hyperlink" Target="https://www.icrjournal.org/index.php/icr/article/view/167" TargetMode="External"/><Relationship Id="rId24" Type="http://schemas.openxmlformats.org/officeDocument/2006/relationships/hyperlink" Target="https://doi.org/10.3390/engproc2025084027" TargetMode="External"/><Relationship Id="rId5" Type="http://schemas.openxmlformats.org/officeDocument/2006/relationships/hyperlink" Target="https://unissa.edu.bn/journal/index.php/jhst/article/download/718/618" TargetMode="External"/><Relationship Id="rId15" Type="http://schemas.openxmlformats.org/officeDocument/2006/relationships/hyperlink" Target="https://www.emerald.com/insight/content/doi/10.1108/jima-02-2022-0050/full/html?casa_token=eEpYfk9I7LcAAAAA:Eyk41Ll7jjT5cLmF27-VYMPGh7P5kXMD0PxyAWNNowG5Lp-f74pykhxR7MzAFV9CP1G5GTyyjyupTZVRr9YdPbHxiGW8mG4D_8eTf1jlM7fGaVa4IWmbPg" TargetMode="External"/><Relationship Id="rId23" Type="http://schemas.openxmlformats.org/officeDocument/2006/relationships/hyperlink" Target="https://ieomsociety.org/proceedings/2023manila/406.pdf" TargetMode="External"/><Relationship Id="rId28" Type="http://schemas.openxmlformats.org/officeDocument/2006/relationships/hyperlink" Target="http://doi.org/10.70764/gdpu-jhr.2025.1(1)-02" TargetMode="External"/><Relationship Id="rId10" Type="http://schemas.openxmlformats.org/officeDocument/2006/relationships/hyperlink" Target="https://www.sciencedirect.com/science/article/pii/S2590123025012083" TargetMode="External"/><Relationship Id="rId19" Type="http://schemas.openxmlformats.org/officeDocument/2006/relationships/hyperlink" Target="https://prosiding.umy.ac.id/ictced/index.php/ictced/article/view/75" TargetMode="External"/><Relationship Id="rId31" Type="http://schemas.openxmlformats.org/officeDocument/2006/relationships/hyperlink" Target="https://www.emerald.com/insight/content/doi/10.1108/jima-12-2023-0412/full/pdf?title=halal-food-sustainable-traceability-framework-for-the-meat-processing-industry" TargetMode="External"/><Relationship Id="rId4" Type="http://schemas.openxmlformats.org/officeDocument/2006/relationships/hyperlink" Target="https://doi.org/10.1007/978-981-97-1375-2_1" TargetMode="External"/><Relationship Id="rId9" Type="http://schemas.openxmlformats.org/officeDocument/2006/relationships/hyperlink" Target="http://journals.hh-publisher.com/index.php/JHIS/article/view/75" TargetMode="External"/><Relationship Id="rId14" Type="http://schemas.openxmlformats.org/officeDocument/2006/relationships/hyperlink" Target="https://ieeexplore.ieee.org/abstract/document/9631868/?casa_token=AghBGgVdIaAAAAAA:_i_HWXYp5Vi7QWJM9Tu_zBVsjddENg41TYnWfu-2St0CFZGP1lHdCJCMAWI09aQRoXIbfSICikdM" TargetMode="External"/><Relationship Id="rId22" Type="http://schemas.openxmlformats.org/officeDocument/2006/relationships/hyperlink" Target="https://link.springer.com/article/10.1186/s40537-020-00405-7" TargetMode="External"/><Relationship Id="rId27" Type="http://schemas.openxmlformats.org/officeDocument/2006/relationships/hyperlink" Target="https://www.emerald.com/insight/1759-0833.htm" TargetMode="External"/><Relationship Id="rId30" Type="http://schemas.openxmlformats.org/officeDocument/2006/relationships/hyperlink" Target="https://doi.org/10.5851/kosfa.2024.e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3"/>
  <sheetViews>
    <sheetView tabSelected="1" workbookViewId="0">
      <selection sqref="A1:XFD1048576"/>
    </sheetView>
  </sheetViews>
  <sheetFormatPr defaultRowHeight="15" x14ac:dyDescent="0.25"/>
  <cols>
    <col min="1" max="16384" width="9.140625" style="6"/>
  </cols>
  <sheetData>
    <row r="1" spans="1:9" ht="15.75" x14ac:dyDescent="0.25">
      <c r="A1" s="4" t="s">
        <v>0</v>
      </c>
      <c r="B1" s="4" t="s">
        <v>1</v>
      </c>
      <c r="C1" s="4" t="s">
        <v>2</v>
      </c>
      <c r="D1" s="4" t="s">
        <v>3</v>
      </c>
      <c r="E1" s="4" t="s">
        <v>4</v>
      </c>
      <c r="F1" s="4" t="s">
        <v>5</v>
      </c>
      <c r="G1" s="4" t="s">
        <v>6</v>
      </c>
      <c r="H1" s="4" t="s">
        <v>7</v>
      </c>
      <c r="I1" s="5" t="s">
        <v>8</v>
      </c>
    </row>
    <row r="2" spans="1:9" ht="15.75" x14ac:dyDescent="0.25">
      <c r="A2" s="7" t="s">
        <v>9</v>
      </c>
      <c r="B2" s="7" t="s">
        <v>10</v>
      </c>
      <c r="C2" s="7">
        <v>2020</v>
      </c>
      <c r="D2" s="8" t="s">
        <v>11</v>
      </c>
      <c r="E2" s="7" t="s">
        <v>12</v>
      </c>
      <c r="F2" s="7" t="s">
        <v>13</v>
      </c>
      <c r="G2" s="7" t="s">
        <v>14</v>
      </c>
      <c r="H2" s="7" t="s">
        <v>15</v>
      </c>
      <c r="I2" s="9"/>
    </row>
    <row r="3" spans="1:9" x14ac:dyDescent="0.25">
      <c r="A3" s="6" t="s">
        <v>16</v>
      </c>
      <c r="B3" s="6" t="s">
        <v>17</v>
      </c>
      <c r="C3" s="6">
        <v>2024</v>
      </c>
      <c r="D3" s="10" t="s">
        <v>18</v>
      </c>
      <c r="E3" s="6" t="s">
        <v>19</v>
      </c>
      <c r="F3" s="6" t="s">
        <v>20</v>
      </c>
      <c r="G3" s="6" t="s">
        <v>21</v>
      </c>
      <c r="H3" s="6" t="s">
        <v>22</v>
      </c>
      <c r="I3" s="11"/>
    </row>
    <row r="4" spans="1:9" ht="15.75" x14ac:dyDescent="0.25">
      <c r="A4" s="7"/>
      <c r="B4" s="7" t="s">
        <v>23</v>
      </c>
      <c r="C4" s="7">
        <v>2024</v>
      </c>
      <c r="D4" s="7" t="s">
        <v>24</v>
      </c>
      <c r="E4" s="7" t="s">
        <v>25</v>
      </c>
      <c r="F4" s="7"/>
      <c r="G4" s="7" t="s">
        <v>26</v>
      </c>
      <c r="H4" s="7" t="s">
        <v>27</v>
      </c>
      <c r="I4" s="9"/>
    </row>
    <row r="5" spans="1:9" ht="15.75" x14ac:dyDescent="0.25">
      <c r="A5" s="7"/>
      <c r="B5" s="7" t="s">
        <v>28</v>
      </c>
      <c r="C5" s="7">
        <v>2019</v>
      </c>
      <c r="D5" s="7" t="s">
        <v>29</v>
      </c>
      <c r="E5" s="7" t="s">
        <v>30</v>
      </c>
      <c r="F5" s="7"/>
      <c r="G5" s="7" t="s">
        <v>26</v>
      </c>
      <c r="H5" s="7" t="s">
        <v>27</v>
      </c>
      <c r="I5" s="9" t="s">
        <v>31</v>
      </c>
    </row>
    <row r="6" spans="1:9" ht="15.75" x14ac:dyDescent="0.25">
      <c r="A6" s="7"/>
      <c r="B6" s="7" t="s">
        <v>28</v>
      </c>
      <c r="C6" s="7">
        <v>2019</v>
      </c>
      <c r="D6" s="7" t="s">
        <v>29</v>
      </c>
      <c r="E6" s="7" t="s">
        <v>30</v>
      </c>
      <c r="F6" s="7"/>
      <c r="G6" s="7"/>
      <c r="H6" s="7" t="s">
        <v>26</v>
      </c>
      <c r="I6" s="9" t="s">
        <v>31</v>
      </c>
    </row>
    <row r="7" spans="1:9" ht="15.75" x14ac:dyDescent="0.25">
      <c r="A7" s="7"/>
      <c r="B7" s="7" t="s">
        <v>32</v>
      </c>
      <c r="C7" s="7">
        <v>2023</v>
      </c>
      <c r="D7" s="7" t="s">
        <v>33</v>
      </c>
      <c r="E7" s="7" t="s">
        <v>34</v>
      </c>
      <c r="F7" s="7"/>
      <c r="G7" s="7" t="s">
        <v>26</v>
      </c>
      <c r="H7" s="7" t="s">
        <v>27</v>
      </c>
      <c r="I7" s="9"/>
    </row>
    <row r="8" spans="1:9" ht="15.75" x14ac:dyDescent="0.25">
      <c r="A8" s="7" t="s">
        <v>35</v>
      </c>
      <c r="B8" s="7" t="s">
        <v>36</v>
      </c>
      <c r="C8" s="7">
        <v>2025</v>
      </c>
      <c r="D8" s="7" t="s">
        <v>37</v>
      </c>
      <c r="E8" s="7" t="s">
        <v>38</v>
      </c>
      <c r="F8" s="7" t="s">
        <v>39</v>
      </c>
      <c r="G8" s="7"/>
      <c r="H8" s="7" t="s">
        <v>40</v>
      </c>
      <c r="I8" s="9"/>
    </row>
    <row r="9" spans="1:9" ht="17.25" x14ac:dyDescent="0.25">
      <c r="A9" s="7" t="s">
        <v>41</v>
      </c>
      <c r="B9" s="7" t="s">
        <v>42</v>
      </c>
      <c r="C9" s="7">
        <v>2024</v>
      </c>
      <c r="D9" s="7" t="s">
        <v>43</v>
      </c>
      <c r="E9" s="12" t="s">
        <v>44</v>
      </c>
      <c r="F9" s="7" t="s">
        <v>45</v>
      </c>
      <c r="G9" s="7"/>
      <c r="H9" s="7" t="s">
        <v>40</v>
      </c>
      <c r="I9" s="1"/>
    </row>
    <row r="10" spans="1:9" ht="15.75" x14ac:dyDescent="0.25">
      <c r="A10" s="7" t="s">
        <v>46</v>
      </c>
      <c r="B10" s="7" t="s">
        <v>47</v>
      </c>
      <c r="C10" s="7">
        <v>2024</v>
      </c>
      <c r="D10" s="8" t="s">
        <v>48</v>
      </c>
      <c r="E10" s="7" t="s">
        <v>49</v>
      </c>
      <c r="F10" s="7"/>
      <c r="G10" s="7" t="s">
        <v>14</v>
      </c>
      <c r="H10" s="7" t="s">
        <v>15</v>
      </c>
      <c r="I10" s="9"/>
    </row>
    <row r="11" spans="1:9" ht="15.75" x14ac:dyDescent="0.25">
      <c r="A11" s="7" t="s">
        <v>50</v>
      </c>
      <c r="B11" s="7" t="s">
        <v>51</v>
      </c>
      <c r="C11" s="7">
        <v>2022</v>
      </c>
      <c r="D11" s="7" t="s">
        <v>52</v>
      </c>
      <c r="E11" s="7" t="s">
        <v>53</v>
      </c>
      <c r="F11" s="7" t="s">
        <v>54</v>
      </c>
      <c r="G11" s="7"/>
      <c r="H11" s="7" t="s">
        <v>55</v>
      </c>
      <c r="I11" s="9" t="s">
        <v>56</v>
      </c>
    </row>
    <row r="12" spans="1:9" ht="15.75" x14ac:dyDescent="0.25">
      <c r="A12" s="7" t="s">
        <v>50</v>
      </c>
      <c r="B12" s="7" t="s">
        <v>51</v>
      </c>
      <c r="C12" s="7">
        <v>2022</v>
      </c>
      <c r="D12" s="7" t="s">
        <v>52</v>
      </c>
      <c r="E12" s="7" t="s">
        <v>53</v>
      </c>
      <c r="F12" s="7" t="s">
        <v>54</v>
      </c>
      <c r="G12" s="7" t="s">
        <v>55</v>
      </c>
      <c r="H12" s="7" t="s">
        <v>27</v>
      </c>
      <c r="I12" s="9"/>
    </row>
    <row r="13" spans="1:9" ht="15.75" x14ac:dyDescent="0.25">
      <c r="A13" s="7" t="s">
        <v>57</v>
      </c>
      <c r="B13" s="7" t="s">
        <v>58</v>
      </c>
      <c r="C13" s="7">
        <v>2024</v>
      </c>
      <c r="D13" s="8" t="s">
        <v>59</v>
      </c>
      <c r="E13" s="7" t="s">
        <v>60</v>
      </c>
      <c r="F13" s="7" t="s">
        <v>61</v>
      </c>
      <c r="G13" s="7" t="s">
        <v>14</v>
      </c>
      <c r="H13" s="7" t="s">
        <v>15</v>
      </c>
      <c r="I13" s="9"/>
    </row>
    <row r="14" spans="1:9" ht="15.75" x14ac:dyDescent="0.25">
      <c r="A14" s="7" t="s">
        <v>62</v>
      </c>
      <c r="B14" s="7" t="s">
        <v>63</v>
      </c>
      <c r="C14" s="7">
        <v>2025</v>
      </c>
      <c r="D14" s="7" t="s">
        <v>64</v>
      </c>
      <c r="E14" s="12" t="s">
        <v>65</v>
      </c>
      <c r="F14" s="12" t="s">
        <v>66</v>
      </c>
      <c r="G14" s="7"/>
      <c r="H14" s="7" t="s">
        <v>40</v>
      </c>
      <c r="I14" s="9"/>
    </row>
    <row r="15" spans="1:9" ht="15.75" x14ac:dyDescent="0.25">
      <c r="A15" s="7" t="s">
        <v>67</v>
      </c>
      <c r="B15" s="7" t="s">
        <v>68</v>
      </c>
      <c r="C15" s="7">
        <v>2025</v>
      </c>
      <c r="D15" s="7" t="s">
        <v>69</v>
      </c>
      <c r="E15" s="7" t="s">
        <v>70</v>
      </c>
      <c r="F15" s="7" t="s">
        <v>71</v>
      </c>
      <c r="G15" s="7"/>
      <c r="H15" s="7" t="s">
        <v>55</v>
      </c>
      <c r="I15" s="9" t="s">
        <v>56</v>
      </c>
    </row>
    <row r="16" spans="1:9" ht="15.75" x14ac:dyDescent="0.25">
      <c r="A16" s="7" t="s">
        <v>67</v>
      </c>
      <c r="B16" s="7" t="s">
        <v>68</v>
      </c>
      <c r="C16" s="7">
        <v>2025</v>
      </c>
      <c r="D16" s="7" t="s">
        <v>69</v>
      </c>
      <c r="E16" s="7" t="s">
        <v>70</v>
      </c>
      <c r="F16" s="7" t="s">
        <v>71</v>
      </c>
      <c r="G16" s="7" t="s">
        <v>55</v>
      </c>
      <c r="H16" s="7" t="s">
        <v>27</v>
      </c>
      <c r="I16" s="9"/>
    </row>
    <row r="17" spans="1:9" x14ac:dyDescent="0.25">
      <c r="A17" s="6" t="s">
        <v>72</v>
      </c>
      <c r="B17" s="6" t="s">
        <v>73</v>
      </c>
      <c r="C17" s="6">
        <v>2022</v>
      </c>
      <c r="D17" s="10" t="s">
        <v>74</v>
      </c>
      <c r="E17" s="6" t="s">
        <v>75</v>
      </c>
      <c r="F17" s="6" t="s">
        <v>76</v>
      </c>
      <c r="G17" s="6" t="s">
        <v>77</v>
      </c>
      <c r="H17" s="6" t="s">
        <v>78</v>
      </c>
      <c r="I17" s="11"/>
    </row>
    <row r="18" spans="1:9" ht="15.75" x14ac:dyDescent="0.25">
      <c r="A18" s="7" t="s">
        <v>79</v>
      </c>
      <c r="B18" s="7" t="s">
        <v>80</v>
      </c>
      <c r="C18" s="7">
        <v>2023</v>
      </c>
      <c r="D18" s="7" t="s">
        <v>81</v>
      </c>
      <c r="E18" s="7" t="s">
        <v>82</v>
      </c>
      <c r="F18" s="12" t="s">
        <v>83</v>
      </c>
      <c r="G18" s="7"/>
      <c r="H18" s="7" t="s">
        <v>40</v>
      </c>
      <c r="I18" s="9"/>
    </row>
    <row r="19" spans="1:9" ht="15.75" x14ac:dyDescent="0.25">
      <c r="A19" s="7" t="s">
        <v>84</v>
      </c>
      <c r="B19" s="7" t="s">
        <v>85</v>
      </c>
      <c r="C19" s="7">
        <v>2020</v>
      </c>
      <c r="D19" s="7" t="s">
        <v>86</v>
      </c>
      <c r="E19" s="12" t="s">
        <v>87</v>
      </c>
      <c r="F19" s="7" t="s">
        <v>88</v>
      </c>
      <c r="G19" s="7"/>
      <c r="H19" s="7" t="s">
        <v>40</v>
      </c>
      <c r="I19" s="9"/>
    </row>
    <row r="20" spans="1:9" x14ac:dyDescent="0.25">
      <c r="A20" s="6" t="s">
        <v>89</v>
      </c>
      <c r="B20" s="6" t="s">
        <v>90</v>
      </c>
      <c r="C20" s="6">
        <v>2023</v>
      </c>
      <c r="D20" s="10" t="s">
        <v>91</v>
      </c>
      <c r="E20" s="6" t="s">
        <v>92</v>
      </c>
      <c r="F20" s="6" t="s">
        <v>93</v>
      </c>
      <c r="G20" s="6" t="s">
        <v>21</v>
      </c>
      <c r="H20" s="6" t="s">
        <v>94</v>
      </c>
      <c r="I20" s="11"/>
    </row>
    <row r="21" spans="1:9" x14ac:dyDescent="0.25">
      <c r="A21" s="6" t="s">
        <v>95</v>
      </c>
      <c r="B21" s="6" t="s">
        <v>96</v>
      </c>
      <c r="C21" s="6">
        <v>2023</v>
      </c>
      <c r="D21" s="10" t="s">
        <v>97</v>
      </c>
      <c r="E21" s="6" t="s">
        <v>98</v>
      </c>
      <c r="F21" s="6" t="s">
        <v>99</v>
      </c>
      <c r="G21" s="6" t="s">
        <v>100</v>
      </c>
      <c r="H21" s="6" t="s">
        <v>101</v>
      </c>
      <c r="I21" s="11"/>
    </row>
    <row r="22" spans="1:9" ht="15.75" x14ac:dyDescent="0.25">
      <c r="A22" s="7" t="s">
        <v>102</v>
      </c>
      <c r="B22" s="7" t="s">
        <v>103</v>
      </c>
      <c r="C22" s="7">
        <v>2021</v>
      </c>
      <c r="D22" s="7" t="s">
        <v>104</v>
      </c>
      <c r="E22" s="12" t="s">
        <v>105</v>
      </c>
      <c r="F22" s="7" t="s">
        <v>106</v>
      </c>
      <c r="G22" s="7"/>
      <c r="H22" s="7" t="s">
        <v>40</v>
      </c>
      <c r="I22" s="9"/>
    </row>
    <row r="23" spans="1:9" ht="15.75" x14ac:dyDescent="0.25">
      <c r="A23" s="2" t="s">
        <v>107</v>
      </c>
      <c r="B23" s="2" t="s">
        <v>108</v>
      </c>
      <c r="C23" s="2">
        <v>2021</v>
      </c>
      <c r="D23" s="2" t="str">
        <f>HYPERLINK("http://dx.doi.org/10.1016/j.techfore.2021.120870","http://dx.doi.org/10.1016/j.techfore.2021.120870")</f>
        <v>http://dx.doi.org/10.1016/j.techfore.2021.120870</v>
      </c>
      <c r="E23" s="2" t="s">
        <v>109</v>
      </c>
      <c r="F23" s="2" t="s">
        <v>110</v>
      </c>
      <c r="G23" s="2" t="s">
        <v>55</v>
      </c>
      <c r="H23" s="2" t="str">
        <f>HYPERLINK("https%3A%2F%2Fwww.webofscience.com%2Fwos%2Fwoscc%2Ffull-record%2F","View Full Record in Web of Science")</f>
        <v>View Full Record in Web of Science</v>
      </c>
      <c r="I23" s="9" t="s">
        <v>56</v>
      </c>
    </row>
    <row r="24" spans="1:9" ht="15.75" x14ac:dyDescent="0.25">
      <c r="A24" s="7" t="s">
        <v>111</v>
      </c>
      <c r="B24" s="7" t="s">
        <v>108</v>
      </c>
      <c r="C24" s="7">
        <v>2021</v>
      </c>
      <c r="D24" s="8" t="s">
        <v>112</v>
      </c>
      <c r="E24" s="7" t="s">
        <v>109</v>
      </c>
      <c r="F24" s="7" t="s">
        <v>113</v>
      </c>
      <c r="G24" s="7" t="s">
        <v>14</v>
      </c>
      <c r="H24" s="7" t="s">
        <v>15</v>
      </c>
      <c r="I24" s="9" t="s">
        <v>56</v>
      </c>
    </row>
    <row r="25" spans="1:9" ht="15.75" x14ac:dyDescent="0.25">
      <c r="A25" s="7" t="s">
        <v>114</v>
      </c>
      <c r="B25" s="7" t="s">
        <v>108</v>
      </c>
      <c r="C25" s="7">
        <v>2021</v>
      </c>
      <c r="D25" s="7" t="s">
        <v>115</v>
      </c>
      <c r="E25" s="7" t="s">
        <v>109</v>
      </c>
      <c r="F25" s="7" t="s">
        <v>110</v>
      </c>
      <c r="G25" s="7"/>
      <c r="H25" s="7" t="s">
        <v>40</v>
      </c>
      <c r="I25" s="9" t="s">
        <v>56</v>
      </c>
    </row>
    <row r="26" spans="1:9" ht="15.75" x14ac:dyDescent="0.25">
      <c r="A26" s="7" t="s">
        <v>116</v>
      </c>
      <c r="B26" s="7" t="s">
        <v>108</v>
      </c>
      <c r="C26" s="7">
        <v>2021</v>
      </c>
      <c r="D26" s="7" t="s">
        <v>117</v>
      </c>
      <c r="E26" s="7" t="s">
        <v>118</v>
      </c>
      <c r="F26" s="7" t="s">
        <v>119</v>
      </c>
      <c r="G26" s="7" t="s">
        <v>55</v>
      </c>
      <c r="H26" s="7" t="s">
        <v>27</v>
      </c>
      <c r="I26" s="9"/>
    </row>
    <row r="27" spans="1:9" ht="15.75" x14ac:dyDescent="0.25">
      <c r="A27" s="7" t="s">
        <v>120</v>
      </c>
      <c r="B27" s="7" t="s">
        <v>121</v>
      </c>
      <c r="C27" s="7">
        <v>2022</v>
      </c>
      <c r="D27" s="7" t="s">
        <v>122</v>
      </c>
      <c r="E27" s="12" t="s">
        <v>123</v>
      </c>
      <c r="F27" s="7" t="s">
        <v>124</v>
      </c>
      <c r="G27" s="7"/>
      <c r="H27" s="7" t="s">
        <v>40</v>
      </c>
      <c r="I27" s="9"/>
    </row>
    <row r="28" spans="1:9" ht="15.75" x14ac:dyDescent="0.25">
      <c r="A28" s="7" t="s">
        <v>125</v>
      </c>
      <c r="B28" s="7" t="s">
        <v>126</v>
      </c>
      <c r="C28" s="7">
        <v>2024</v>
      </c>
      <c r="D28" s="7" t="s">
        <v>127</v>
      </c>
      <c r="E28" s="7" t="s">
        <v>128</v>
      </c>
      <c r="F28" s="7" t="s">
        <v>129</v>
      </c>
      <c r="G28" s="7"/>
      <c r="H28" s="7" t="s">
        <v>130</v>
      </c>
      <c r="I28" s="9" t="s">
        <v>56</v>
      </c>
    </row>
    <row r="29" spans="1:9" ht="15.75" x14ac:dyDescent="0.25">
      <c r="A29" s="7" t="s">
        <v>125</v>
      </c>
      <c r="B29" s="7" t="s">
        <v>126</v>
      </c>
      <c r="C29" s="7">
        <v>2024</v>
      </c>
      <c r="D29" s="7" t="s">
        <v>127</v>
      </c>
      <c r="E29" s="7" t="s">
        <v>128</v>
      </c>
      <c r="F29" s="7" t="s">
        <v>129</v>
      </c>
      <c r="G29" s="7" t="s">
        <v>130</v>
      </c>
      <c r="H29" s="7" t="s">
        <v>27</v>
      </c>
      <c r="I29" s="9"/>
    </row>
    <row r="30" spans="1:9" ht="15.75" x14ac:dyDescent="0.25">
      <c r="A30" s="7" t="s">
        <v>131</v>
      </c>
      <c r="B30" s="7" t="s">
        <v>132</v>
      </c>
      <c r="C30" s="7">
        <v>2025</v>
      </c>
      <c r="D30" s="7" t="s">
        <v>133</v>
      </c>
      <c r="E30" s="7" t="s">
        <v>134</v>
      </c>
      <c r="F30" s="7" t="s">
        <v>135</v>
      </c>
      <c r="G30" s="7" t="s">
        <v>14</v>
      </c>
      <c r="H30" s="7" t="s">
        <v>15</v>
      </c>
      <c r="I30" s="9"/>
    </row>
    <row r="31" spans="1:9" ht="15.75" x14ac:dyDescent="0.25">
      <c r="A31" s="2" t="s">
        <v>136</v>
      </c>
      <c r="B31" s="2" t="s">
        <v>137</v>
      </c>
      <c r="C31" s="2">
        <v>2023</v>
      </c>
      <c r="D31" s="2" t="str">
        <f>HYPERLINK("http://dx.doi.org/10.1108/JIMA-02-2022-0050","http://dx.doi.org/10.1108/JIMA-02-2022-0050")</f>
        <v>http://dx.doi.org/10.1108/JIMA-02-2022-0050</v>
      </c>
      <c r="E31" s="2" t="s">
        <v>138</v>
      </c>
      <c r="F31" s="2" t="s">
        <v>139</v>
      </c>
      <c r="G31" s="2" t="s">
        <v>55</v>
      </c>
      <c r="H31" s="2" t="str">
        <f>HYPERLINK("https%3A%2F%2Fwww.webofscience.com%2Fwos%2Fwoscc%2Ffull-record%2F","View Full Record in Web of Science")</f>
        <v>View Full Record in Web of Science</v>
      </c>
      <c r="I31" s="3" t="s">
        <v>56</v>
      </c>
    </row>
    <row r="32" spans="1:9" ht="15.75" x14ac:dyDescent="0.25">
      <c r="A32" s="7" t="s">
        <v>140</v>
      </c>
      <c r="B32" s="7" t="s">
        <v>137</v>
      </c>
      <c r="C32" s="7">
        <v>2022</v>
      </c>
      <c r="D32" s="8" t="s">
        <v>141</v>
      </c>
      <c r="E32" s="7" t="s">
        <v>142</v>
      </c>
      <c r="F32" s="7" t="s">
        <v>143</v>
      </c>
      <c r="G32" s="7" t="s">
        <v>14</v>
      </c>
      <c r="H32" s="7" t="s">
        <v>15</v>
      </c>
      <c r="I32" s="9" t="s">
        <v>56</v>
      </c>
    </row>
    <row r="33" spans="1:9" ht="15.75" x14ac:dyDescent="0.25">
      <c r="A33" s="7" t="s">
        <v>144</v>
      </c>
      <c r="B33" s="7" t="s">
        <v>137</v>
      </c>
      <c r="C33" s="7">
        <v>2023</v>
      </c>
      <c r="D33" s="7" t="s">
        <v>145</v>
      </c>
      <c r="E33" s="7" t="s">
        <v>146</v>
      </c>
      <c r="F33" s="7" t="s">
        <v>147</v>
      </c>
      <c r="G33" s="7" t="s">
        <v>55</v>
      </c>
      <c r="H33" s="7" t="s">
        <v>27</v>
      </c>
      <c r="I33" s="9"/>
    </row>
    <row r="34" spans="1:9" ht="15.75" x14ac:dyDescent="0.25">
      <c r="A34" s="7" t="s">
        <v>148</v>
      </c>
      <c r="B34" s="7" t="s">
        <v>149</v>
      </c>
      <c r="C34" s="7">
        <v>2020</v>
      </c>
      <c r="D34" s="7" t="s">
        <v>150</v>
      </c>
      <c r="E34" s="7" t="s">
        <v>151</v>
      </c>
      <c r="F34" s="7"/>
      <c r="G34" s="7" t="s">
        <v>130</v>
      </c>
      <c r="H34" s="7" t="s">
        <v>27</v>
      </c>
      <c r="I34" s="9"/>
    </row>
    <row r="35" spans="1:9" x14ac:dyDescent="0.25">
      <c r="A35" s="6" t="s">
        <v>152</v>
      </c>
      <c r="B35" s="6" t="s">
        <v>153</v>
      </c>
      <c r="C35" s="6">
        <v>2024</v>
      </c>
      <c r="D35" s="10" t="s">
        <v>154</v>
      </c>
      <c r="E35" s="6" t="s">
        <v>155</v>
      </c>
      <c r="F35" s="6" t="s">
        <v>156</v>
      </c>
      <c r="G35" s="6" t="s">
        <v>157</v>
      </c>
      <c r="H35" s="6" t="s">
        <v>158</v>
      </c>
      <c r="I35" s="11"/>
    </row>
    <row r="36" spans="1:9" ht="15.75" x14ac:dyDescent="0.25">
      <c r="A36" s="7" t="s">
        <v>159</v>
      </c>
      <c r="B36" s="7" t="s">
        <v>160</v>
      </c>
      <c r="C36" s="7">
        <v>2024</v>
      </c>
      <c r="D36" s="7" t="s">
        <v>161</v>
      </c>
      <c r="E36" s="12" t="s">
        <v>162</v>
      </c>
      <c r="F36" s="7" t="s">
        <v>163</v>
      </c>
      <c r="G36" s="7"/>
      <c r="H36" s="7" t="s">
        <v>40</v>
      </c>
      <c r="I36" s="9"/>
    </row>
    <row r="37" spans="1:9" ht="15.75" x14ac:dyDescent="0.25">
      <c r="A37" s="7" t="s">
        <v>164</v>
      </c>
      <c r="B37" s="7" t="s">
        <v>165</v>
      </c>
      <c r="C37" s="7">
        <v>2025</v>
      </c>
      <c r="D37" s="7" t="s">
        <v>166</v>
      </c>
      <c r="E37" s="7" t="s">
        <v>167</v>
      </c>
      <c r="F37" s="12" t="s">
        <v>168</v>
      </c>
      <c r="G37" s="7"/>
      <c r="H37" s="7" t="s">
        <v>40</v>
      </c>
      <c r="I37" s="9"/>
    </row>
    <row r="38" spans="1:9" ht="15.75" x14ac:dyDescent="0.25">
      <c r="A38" s="7" t="s">
        <v>169</v>
      </c>
      <c r="B38" s="7" t="s">
        <v>170</v>
      </c>
      <c r="C38" s="7">
        <v>2024</v>
      </c>
      <c r="D38" s="7" t="s">
        <v>171</v>
      </c>
      <c r="E38" s="7" t="s">
        <v>172</v>
      </c>
      <c r="F38" s="12" t="s">
        <v>173</v>
      </c>
      <c r="G38" s="7"/>
      <c r="H38" s="7" t="s">
        <v>40</v>
      </c>
      <c r="I38" s="9"/>
    </row>
    <row r="39" spans="1:9" ht="15.75" x14ac:dyDescent="0.25">
      <c r="A39" s="7" t="s">
        <v>174</v>
      </c>
      <c r="B39" s="7" t="s">
        <v>175</v>
      </c>
      <c r="C39" s="7">
        <v>2022</v>
      </c>
      <c r="D39" s="7" t="s">
        <v>176</v>
      </c>
      <c r="E39" s="7" t="s">
        <v>177</v>
      </c>
      <c r="F39" s="7" t="s">
        <v>178</v>
      </c>
      <c r="G39" s="7" t="s">
        <v>14</v>
      </c>
      <c r="H39" s="7" t="s">
        <v>15</v>
      </c>
      <c r="I39" s="9" t="s">
        <v>56</v>
      </c>
    </row>
    <row r="40" spans="1:9" ht="15.75" x14ac:dyDescent="0.25">
      <c r="A40" s="7" t="s">
        <v>179</v>
      </c>
      <c r="B40" s="7" t="s">
        <v>175</v>
      </c>
      <c r="C40" s="7">
        <v>2022</v>
      </c>
      <c r="D40" s="7" t="s">
        <v>180</v>
      </c>
      <c r="E40" s="7" t="s">
        <v>181</v>
      </c>
      <c r="F40" s="7" t="s">
        <v>182</v>
      </c>
      <c r="G40" s="7" t="s">
        <v>55</v>
      </c>
      <c r="H40" s="7" t="s">
        <v>27</v>
      </c>
      <c r="I40" s="9" t="s">
        <v>56</v>
      </c>
    </row>
    <row r="41" spans="1:9" ht="15.75" x14ac:dyDescent="0.25">
      <c r="A41" s="2" t="s">
        <v>183</v>
      </c>
      <c r="B41" s="2" t="s">
        <v>175</v>
      </c>
      <c r="C41" s="2">
        <v>2022</v>
      </c>
      <c r="D41" s="2" t="str">
        <f>HYPERLINK("http://dx.doi.org/10.1080/13675567.2020.1825653","http://dx.doi.org/10.1080/13675567.2020.1825653")</f>
        <v>http://dx.doi.org/10.1080/13675567.2020.1825653</v>
      </c>
      <c r="E41" s="2" t="s">
        <v>184</v>
      </c>
      <c r="F41" s="2" t="s">
        <v>185</v>
      </c>
      <c r="G41" s="2" t="s">
        <v>55</v>
      </c>
      <c r="H41" s="2" t="str">
        <f>HYPERLINK("https%3A%2F%2Fwww.webofscience.com%2Fwos%2Fwoscc%2Ffull-record%2F","View Full Record in Web of Science")</f>
        <v>View Full Record in Web of Science</v>
      </c>
      <c r="I41" s="9"/>
    </row>
    <row r="42" spans="1:9" ht="15.75" x14ac:dyDescent="0.25">
      <c r="A42" s="7" t="s">
        <v>186</v>
      </c>
      <c r="B42" s="7" t="s">
        <v>187</v>
      </c>
      <c r="C42" s="7">
        <v>2022</v>
      </c>
      <c r="D42" s="7" t="s">
        <v>188</v>
      </c>
      <c r="E42" s="7" t="s">
        <v>189</v>
      </c>
      <c r="F42" s="7"/>
      <c r="G42" s="7"/>
      <c r="H42" s="7" t="s">
        <v>40</v>
      </c>
      <c r="I42" s="9"/>
    </row>
    <row r="43" spans="1:9" ht="15.75" x14ac:dyDescent="0.25">
      <c r="A43" s="7" t="s">
        <v>190</v>
      </c>
      <c r="B43" s="7" t="s">
        <v>191</v>
      </c>
      <c r="C43" s="7">
        <v>2024</v>
      </c>
      <c r="D43" s="7" t="s">
        <v>192</v>
      </c>
      <c r="E43" s="7" t="s">
        <v>193</v>
      </c>
      <c r="F43" s="7" t="s">
        <v>194</v>
      </c>
      <c r="G43" s="7"/>
      <c r="H43" s="7" t="s">
        <v>55</v>
      </c>
      <c r="I43" s="9" t="s">
        <v>56</v>
      </c>
    </row>
    <row r="44" spans="1:9" ht="15.75" x14ac:dyDescent="0.25">
      <c r="A44" s="2" t="s">
        <v>195</v>
      </c>
      <c r="B44" s="2" t="s">
        <v>191</v>
      </c>
      <c r="C44" s="2">
        <v>2024</v>
      </c>
      <c r="D44" s="2" t="str">
        <f>HYPERLINK("http://dx.doi.org/10.1108/JIMA-05-2022-0122","http://dx.doi.org/10.1108/JIMA-05-2022-0122")</f>
        <v>http://dx.doi.org/10.1108/JIMA-05-2022-0122</v>
      </c>
      <c r="E44" s="2" t="s">
        <v>196</v>
      </c>
      <c r="F44" s="2" t="s">
        <v>197</v>
      </c>
      <c r="G44" s="2" t="s">
        <v>55</v>
      </c>
      <c r="H44" s="2" t="str">
        <f>HYPERLINK("https%3A%2F%2Fwww.webofscience.com%2Fwos%2Fwoscc%2Ffull-record%2F","View Full Record in Web of Science")</f>
        <v>View Full Record in Web of Science</v>
      </c>
      <c r="I44" s="3" t="s">
        <v>56</v>
      </c>
    </row>
    <row r="45" spans="1:9" ht="15.75" x14ac:dyDescent="0.25">
      <c r="A45" s="7" t="s">
        <v>190</v>
      </c>
      <c r="B45" s="7" t="s">
        <v>191</v>
      </c>
      <c r="C45" s="7">
        <v>2024</v>
      </c>
      <c r="D45" s="7" t="s">
        <v>192</v>
      </c>
      <c r="E45" s="7" t="s">
        <v>193</v>
      </c>
      <c r="F45" s="7" t="s">
        <v>194</v>
      </c>
      <c r="G45" s="7" t="s">
        <v>55</v>
      </c>
      <c r="H45" s="7" t="s">
        <v>27</v>
      </c>
      <c r="I45" s="9"/>
    </row>
    <row r="46" spans="1:9" x14ac:dyDescent="0.25">
      <c r="A46" s="6" t="s">
        <v>198</v>
      </c>
      <c r="B46" s="6" t="s">
        <v>199</v>
      </c>
      <c r="C46" s="6">
        <v>2020</v>
      </c>
      <c r="D46" s="10" t="s">
        <v>200</v>
      </c>
      <c r="E46" s="6" t="s">
        <v>201</v>
      </c>
      <c r="F46" s="6" t="s">
        <v>202</v>
      </c>
      <c r="G46" s="6" t="s">
        <v>203</v>
      </c>
      <c r="H46" s="6" t="s">
        <v>204</v>
      </c>
      <c r="I46" s="11"/>
    </row>
    <row r="47" spans="1:9" ht="15.75" x14ac:dyDescent="0.25">
      <c r="A47" s="7" t="s">
        <v>205</v>
      </c>
      <c r="B47" s="7" t="s">
        <v>206</v>
      </c>
      <c r="C47" s="7">
        <v>2023</v>
      </c>
      <c r="D47" s="7" t="s">
        <v>207</v>
      </c>
      <c r="E47" s="12" t="s">
        <v>208</v>
      </c>
      <c r="F47" s="12" t="s">
        <v>209</v>
      </c>
      <c r="G47" s="7"/>
      <c r="H47" s="7" t="s">
        <v>40</v>
      </c>
      <c r="I47" s="9"/>
    </row>
    <row r="48" spans="1:9" ht="15.75" x14ac:dyDescent="0.25">
      <c r="A48" s="7" t="s">
        <v>210</v>
      </c>
      <c r="B48" s="7" t="s">
        <v>211</v>
      </c>
      <c r="C48" s="7">
        <v>2021</v>
      </c>
      <c r="D48" s="7" t="s">
        <v>212</v>
      </c>
      <c r="E48" s="7" t="s">
        <v>213</v>
      </c>
      <c r="F48" s="7" t="s">
        <v>214</v>
      </c>
      <c r="G48" s="7" t="s">
        <v>215</v>
      </c>
      <c r="H48" s="7" t="s">
        <v>216</v>
      </c>
      <c r="I48" s="9"/>
    </row>
    <row r="49" spans="1:9" ht="15.75" x14ac:dyDescent="0.25">
      <c r="A49" s="7" t="s">
        <v>217</v>
      </c>
      <c r="B49" s="7" t="s">
        <v>218</v>
      </c>
      <c r="C49" s="7">
        <v>2023</v>
      </c>
      <c r="D49" s="7" t="s">
        <v>219</v>
      </c>
      <c r="E49" s="7" t="s">
        <v>220</v>
      </c>
      <c r="F49" s="7" t="s">
        <v>221</v>
      </c>
      <c r="G49" s="7" t="s">
        <v>55</v>
      </c>
      <c r="H49" s="7" t="s">
        <v>27</v>
      </c>
      <c r="I49" s="9"/>
    </row>
    <row r="50" spans="1:9" ht="15.75" x14ac:dyDescent="0.25">
      <c r="A50" s="7" t="s">
        <v>222</v>
      </c>
      <c r="B50" s="7" t="s">
        <v>223</v>
      </c>
      <c r="C50" s="7">
        <v>2021</v>
      </c>
      <c r="D50" s="7" t="s">
        <v>224</v>
      </c>
      <c r="E50" s="7" t="s">
        <v>225</v>
      </c>
      <c r="F50" s="7" t="s">
        <v>226</v>
      </c>
      <c r="G50" s="7" t="s">
        <v>215</v>
      </c>
      <c r="H50" s="7" t="s">
        <v>216</v>
      </c>
      <c r="I50" s="9" t="s">
        <v>227</v>
      </c>
    </row>
    <row r="51" spans="1:9" ht="15.75" x14ac:dyDescent="0.25">
      <c r="A51" s="7" t="s">
        <v>228</v>
      </c>
      <c r="B51" s="7" t="s">
        <v>223</v>
      </c>
      <c r="C51" s="7">
        <v>2021</v>
      </c>
      <c r="D51" s="7" t="s">
        <v>229</v>
      </c>
      <c r="E51" s="7" t="s">
        <v>230</v>
      </c>
      <c r="F51" s="7" t="s">
        <v>231</v>
      </c>
      <c r="G51" s="7" t="s">
        <v>232</v>
      </c>
      <c r="H51" s="7" t="s">
        <v>27</v>
      </c>
      <c r="I51" s="9" t="s">
        <v>56</v>
      </c>
    </row>
    <row r="52" spans="1:9" ht="15.75" x14ac:dyDescent="0.25">
      <c r="A52" s="2" t="s">
        <v>233</v>
      </c>
      <c r="B52" s="2" t="s">
        <v>223</v>
      </c>
      <c r="C52" s="2">
        <v>2021</v>
      </c>
      <c r="D52" s="2" t="str">
        <f>HYPERLINK("http://dx.doi.org/10.1109/IEEM50564.2021.9673084","http://dx.doi.org/10.1109/IEEM50564.2021.9673084")</f>
        <v>http://dx.doi.org/10.1109/IEEM50564.2021.9673084</v>
      </c>
      <c r="E52" s="2" t="s">
        <v>234</v>
      </c>
      <c r="F52" s="2" t="s">
        <v>235</v>
      </c>
      <c r="G52" s="2" t="s">
        <v>236</v>
      </c>
      <c r="H52" s="2" t="str">
        <f>HYPERLINK("https%3A%2F%2Fwww.webofscience.com%2Fwos%2Fwoscc%2Ffull-record%2F","View Full Record in Web of Science")</f>
        <v>View Full Record in Web of Science</v>
      </c>
      <c r="I52" s="9"/>
    </row>
    <row r="53" spans="1:9" ht="15.75" x14ac:dyDescent="0.25">
      <c r="A53" s="7" t="s">
        <v>237</v>
      </c>
      <c r="B53" s="7" t="s">
        <v>238</v>
      </c>
      <c r="C53" s="7">
        <v>2021</v>
      </c>
      <c r="D53" s="7" t="s">
        <v>239</v>
      </c>
      <c r="E53" s="7" t="s">
        <v>240</v>
      </c>
      <c r="F53" s="7" t="s">
        <v>241</v>
      </c>
      <c r="G53" s="7" t="s">
        <v>215</v>
      </c>
      <c r="H53" s="7" t="s">
        <v>216</v>
      </c>
      <c r="I53" s="9" t="s">
        <v>56</v>
      </c>
    </row>
    <row r="54" spans="1:9" ht="15.75" x14ac:dyDescent="0.25">
      <c r="A54" s="7" t="s">
        <v>242</v>
      </c>
      <c r="B54" s="7" t="s">
        <v>238</v>
      </c>
      <c r="C54" s="7">
        <v>2021</v>
      </c>
      <c r="D54" s="8" t="s">
        <v>243</v>
      </c>
      <c r="E54" s="7" t="s">
        <v>240</v>
      </c>
      <c r="F54" s="7" t="s">
        <v>244</v>
      </c>
      <c r="G54" s="7" t="s">
        <v>14</v>
      </c>
      <c r="H54" s="7" t="s">
        <v>15</v>
      </c>
      <c r="I54" s="9" t="s">
        <v>56</v>
      </c>
    </row>
    <row r="55" spans="1:9" ht="15.75" x14ac:dyDescent="0.25">
      <c r="A55" s="7" t="s">
        <v>245</v>
      </c>
      <c r="B55" s="7" t="s">
        <v>238</v>
      </c>
      <c r="C55" s="7">
        <v>2021</v>
      </c>
      <c r="D55" s="7" t="s">
        <v>246</v>
      </c>
      <c r="E55" s="7" t="s">
        <v>247</v>
      </c>
      <c r="F55" s="7" t="s">
        <v>248</v>
      </c>
      <c r="G55" s="7" t="s">
        <v>232</v>
      </c>
      <c r="H55" s="7" t="s">
        <v>27</v>
      </c>
      <c r="I55" s="9"/>
    </row>
    <row r="56" spans="1:9" ht="15.75" x14ac:dyDescent="0.25">
      <c r="A56" s="7" t="s">
        <v>249</v>
      </c>
      <c r="B56" s="7" t="s">
        <v>250</v>
      </c>
      <c r="C56" s="7">
        <v>2023</v>
      </c>
      <c r="D56" s="8" t="s">
        <v>251</v>
      </c>
      <c r="E56" s="7" t="s">
        <v>252</v>
      </c>
      <c r="F56" s="7" t="s">
        <v>253</v>
      </c>
      <c r="G56" s="7" t="s">
        <v>14</v>
      </c>
      <c r="H56" s="7" t="s">
        <v>15</v>
      </c>
      <c r="I56" s="9"/>
    </row>
    <row r="57" spans="1:9" ht="15.75" x14ac:dyDescent="0.25">
      <c r="A57" s="7" t="s">
        <v>254</v>
      </c>
      <c r="B57" s="7" t="s">
        <v>255</v>
      </c>
      <c r="C57" s="7">
        <v>2019</v>
      </c>
      <c r="D57" s="7" t="s">
        <v>256</v>
      </c>
      <c r="E57" s="7" t="s">
        <v>257</v>
      </c>
      <c r="F57" s="7" t="s">
        <v>258</v>
      </c>
      <c r="G57" s="7" t="s">
        <v>232</v>
      </c>
      <c r="H57" s="7" t="s">
        <v>27</v>
      </c>
      <c r="I57" s="9" t="s">
        <v>56</v>
      </c>
    </row>
    <row r="58" spans="1:9" ht="15.75" x14ac:dyDescent="0.25">
      <c r="A58" s="7" t="s">
        <v>254</v>
      </c>
      <c r="B58" s="7" t="s">
        <v>255</v>
      </c>
      <c r="C58" s="7">
        <v>2019</v>
      </c>
      <c r="D58" s="7" t="s">
        <v>256</v>
      </c>
      <c r="E58" s="7" t="s">
        <v>257</v>
      </c>
      <c r="F58" s="7" t="s">
        <v>258</v>
      </c>
      <c r="G58" s="7"/>
      <c r="H58" s="7" t="s">
        <v>232</v>
      </c>
      <c r="I58" s="9" t="s">
        <v>56</v>
      </c>
    </row>
    <row r="59" spans="1:9" ht="15.75" x14ac:dyDescent="0.25">
      <c r="A59" s="2" t="s">
        <v>259</v>
      </c>
      <c r="B59" s="2" t="s">
        <v>255</v>
      </c>
      <c r="C59" s="2">
        <v>2019</v>
      </c>
      <c r="D59" s="2" t="str">
        <f>HYPERLINK("http://dx.doi.org/10.1109/aicai.2019.8701321","http://dx.doi.org/10.1109/aicai.2019.8701321")</f>
        <v>http://dx.doi.org/10.1109/aicai.2019.8701321</v>
      </c>
      <c r="E59" s="2" t="s">
        <v>260</v>
      </c>
      <c r="F59" s="2" t="s">
        <v>261</v>
      </c>
      <c r="G59" s="2" t="s">
        <v>236</v>
      </c>
      <c r="H59" s="2" t="str">
        <f>HYPERLINK("https%3A%2F%2Fwww.webofscience.com%2Fwos%2Fwoscc%2Ffull-record%2F","View Full Record in Web of Science")</f>
        <v>View Full Record in Web of Science</v>
      </c>
      <c r="I59" s="9" t="s">
        <v>56</v>
      </c>
    </row>
    <row r="60" spans="1:9" ht="15.75" x14ac:dyDescent="0.25">
      <c r="A60" s="7" t="s">
        <v>262</v>
      </c>
      <c r="B60" s="7" t="s">
        <v>255</v>
      </c>
      <c r="C60" s="7">
        <v>2019</v>
      </c>
      <c r="D60" s="8" t="s">
        <v>263</v>
      </c>
      <c r="E60" s="7" t="s">
        <v>264</v>
      </c>
      <c r="F60" s="7" t="s">
        <v>265</v>
      </c>
      <c r="G60" s="7" t="s">
        <v>266</v>
      </c>
      <c r="H60" s="7" t="s">
        <v>15</v>
      </c>
      <c r="I60" s="9" t="s">
        <v>56</v>
      </c>
    </row>
    <row r="61" spans="1:9" ht="15.75" x14ac:dyDescent="0.25">
      <c r="A61" s="7" t="s">
        <v>267</v>
      </c>
      <c r="B61" s="7" t="s">
        <v>255</v>
      </c>
      <c r="C61" s="7">
        <v>2019</v>
      </c>
      <c r="D61" s="7" t="s">
        <v>268</v>
      </c>
      <c r="E61" s="7" t="s">
        <v>264</v>
      </c>
      <c r="F61" s="7" t="s">
        <v>269</v>
      </c>
      <c r="G61" s="7" t="s">
        <v>215</v>
      </c>
      <c r="H61" s="7" t="s">
        <v>216</v>
      </c>
      <c r="I61" s="9"/>
    </row>
    <row r="62" spans="1:9" ht="15.75" x14ac:dyDescent="0.25">
      <c r="A62" s="7" t="s">
        <v>270</v>
      </c>
      <c r="B62" s="7" t="s">
        <v>271</v>
      </c>
      <c r="C62" s="7">
        <v>2023</v>
      </c>
      <c r="D62" s="7" t="s">
        <v>272</v>
      </c>
      <c r="E62" s="7" t="s">
        <v>273</v>
      </c>
      <c r="F62" s="7" t="s">
        <v>274</v>
      </c>
      <c r="G62" s="7" t="s">
        <v>55</v>
      </c>
      <c r="H62" s="7" t="s">
        <v>27</v>
      </c>
      <c r="I62" s="9"/>
    </row>
    <row r="63" spans="1:9" ht="15.75" x14ac:dyDescent="0.25">
      <c r="A63" s="7" t="s">
        <v>275</v>
      </c>
      <c r="B63" s="7" t="s">
        <v>276</v>
      </c>
      <c r="C63" s="7">
        <v>2023</v>
      </c>
      <c r="D63" s="7" t="s">
        <v>277</v>
      </c>
      <c r="E63" s="7" t="s">
        <v>278</v>
      </c>
      <c r="F63" s="7"/>
      <c r="G63" s="7"/>
      <c r="H63" s="7" t="s">
        <v>130</v>
      </c>
      <c r="I63" s="9" t="s">
        <v>56</v>
      </c>
    </row>
    <row r="64" spans="1:9" ht="15.75" x14ac:dyDescent="0.25">
      <c r="A64" s="7" t="s">
        <v>275</v>
      </c>
      <c r="B64" s="7" t="s">
        <v>276</v>
      </c>
      <c r="C64" s="7">
        <v>2023</v>
      </c>
      <c r="D64" s="7" t="s">
        <v>277</v>
      </c>
      <c r="E64" s="7" t="s">
        <v>278</v>
      </c>
      <c r="F64" s="7"/>
      <c r="G64" s="7" t="s">
        <v>130</v>
      </c>
      <c r="H64" s="7" t="s">
        <v>27</v>
      </c>
      <c r="I64" s="9"/>
    </row>
    <row r="65" spans="1:9" ht="15.75" x14ac:dyDescent="0.25">
      <c r="A65" s="7" t="s">
        <v>279</v>
      </c>
      <c r="B65" s="7" t="s">
        <v>280</v>
      </c>
      <c r="C65" s="7">
        <v>2024</v>
      </c>
      <c r="D65" s="7" t="s">
        <v>281</v>
      </c>
      <c r="E65" s="7" t="s">
        <v>282</v>
      </c>
      <c r="F65" s="7" t="s">
        <v>283</v>
      </c>
      <c r="G65" s="7"/>
      <c r="H65" s="7" t="s">
        <v>130</v>
      </c>
      <c r="I65" s="9" t="s">
        <v>56</v>
      </c>
    </row>
    <row r="66" spans="1:9" ht="15.75" x14ac:dyDescent="0.25">
      <c r="A66" s="7" t="s">
        <v>284</v>
      </c>
      <c r="B66" s="7" t="s">
        <v>280</v>
      </c>
      <c r="C66" s="7">
        <v>2024</v>
      </c>
      <c r="D66" s="8" t="s">
        <v>285</v>
      </c>
      <c r="E66" s="7" t="s">
        <v>286</v>
      </c>
      <c r="F66" s="7"/>
      <c r="G66" s="7" t="s">
        <v>287</v>
      </c>
      <c r="H66" s="7" t="s">
        <v>15</v>
      </c>
      <c r="I66" s="9" t="s">
        <v>56</v>
      </c>
    </row>
    <row r="67" spans="1:9" ht="15.75" x14ac:dyDescent="0.25">
      <c r="A67" s="7" t="s">
        <v>279</v>
      </c>
      <c r="B67" s="7" t="s">
        <v>280</v>
      </c>
      <c r="C67" s="7">
        <v>2024</v>
      </c>
      <c r="D67" s="7" t="s">
        <v>281</v>
      </c>
      <c r="E67" s="7" t="s">
        <v>282</v>
      </c>
      <c r="F67" s="7" t="s">
        <v>283</v>
      </c>
      <c r="G67" s="7" t="s">
        <v>130</v>
      </c>
      <c r="H67" s="7" t="s">
        <v>27</v>
      </c>
      <c r="I67" s="9"/>
    </row>
    <row r="68" spans="1:9" ht="15.75" x14ac:dyDescent="0.25">
      <c r="A68" s="7" t="s">
        <v>288</v>
      </c>
      <c r="B68" s="7" t="s">
        <v>289</v>
      </c>
      <c r="C68" s="7">
        <v>2024</v>
      </c>
      <c r="D68" s="7" t="s">
        <v>290</v>
      </c>
      <c r="E68" s="12" t="s">
        <v>291</v>
      </c>
      <c r="F68" s="7" t="s">
        <v>292</v>
      </c>
      <c r="G68" s="7"/>
      <c r="H68" s="7" t="s">
        <v>40</v>
      </c>
      <c r="I68" s="9"/>
    </row>
    <row r="69" spans="1:9" ht="15.75" x14ac:dyDescent="0.25">
      <c r="A69" s="7" t="s">
        <v>293</v>
      </c>
      <c r="B69" s="7" t="s">
        <v>294</v>
      </c>
      <c r="C69" s="7">
        <v>2025</v>
      </c>
      <c r="D69" s="7" t="s">
        <v>295</v>
      </c>
      <c r="E69" s="7" t="s">
        <v>296</v>
      </c>
      <c r="F69" s="7" t="s">
        <v>297</v>
      </c>
      <c r="G69" s="7"/>
      <c r="H69" s="7" t="s">
        <v>40</v>
      </c>
      <c r="I69" s="9"/>
    </row>
    <row r="70" spans="1:9" ht="15.75" x14ac:dyDescent="0.25">
      <c r="A70" s="7" t="s">
        <v>298</v>
      </c>
      <c r="B70" s="7" t="s">
        <v>299</v>
      </c>
      <c r="C70" s="7">
        <v>2022</v>
      </c>
      <c r="D70" s="7" t="s">
        <v>300</v>
      </c>
      <c r="E70" s="7" t="s">
        <v>301</v>
      </c>
      <c r="F70" s="7" t="s">
        <v>302</v>
      </c>
      <c r="G70" s="7" t="s">
        <v>232</v>
      </c>
      <c r="H70" s="7" t="s">
        <v>27</v>
      </c>
      <c r="I70" s="9"/>
    </row>
    <row r="71" spans="1:9" ht="15.75" x14ac:dyDescent="0.25">
      <c r="A71" s="7" t="s">
        <v>303</v>
      </c>
      <c r="B71" s="7" t="s">
        <v>304</v>
      </c>
      <c r="C71" s="7">
        <v>2023</v>
      </c>
      <c r="D71" s="7" t="s">
        <v>305</v>
      </c>
      <c r="E71" s="7" t="s">
        <v>306</v>
      </c>
      <c r="F71" s="7" t="s">
        <v>307</v>
      </c>
      <c r="G71" s="7"/>
      <c r="H71" s="7" t="s">
        <v>40</v>
      </c>
      <c r="I71" s="9"/>
    </row>
    <row r="72" spans="1:9" ht="15.75" x14ac:dyDescent="0.25">
      <c r="A72" s="7" t="s">
        <v>308</v>
      </c>
      <c r="B72" s="7" t="s">
        <v>309</v>
      </c>
      <c r="C72" s="7">
        <v>2025</v>
      </c>
      <c r="D72" s="7" t="s">
        <v>310</v>
      </c>
      <c r="E72" s="7" t="s">
        <v>311</v>
      </c>
      <c r="F72" s="7" t="s">
        <v>312</v>
      </c>
      <c r="G72" s="7" t="s">
        <v>215</v>
      </c>
      <c r="H72" s="7" t="s">
        <v>216</v>
      </c>
      <c r="I72" s="9"/>
    </row>
    <row r="73" spans="1:9" ht="15.75" x14ac:dyDescent="0.25">
      <c r="A73" s="7" t="s">
        <v>313</v>
      </c>
      <c r="B73" s="7" t="s">
        <v>314</v>
      </c>
      <c r="C73" s="7">
        <v>2020</v>
      </c>
      <c r="D73" s="7" t="s">
        <v>315</v>
      </c>
      <c r="E73" s="7" t="s">
        <v>316</v>
      </c>
      <c r="F73" s="7" t="s">
        <v>317</v>
      </c>
      <c r="G73" s="7"/>
      <c r="H73" s="7" t="s">
        <v>318</v>
      </c>
      <c r="I73" s="9"/>
    </row>
    <row r="74" spans="1:9" ht="15.75" x14ac:dyDescent="0.25">
      <c r="A74" s="7" t="s">
        <v>319</v>
      </c>
      <c r="B74" s="7" t="s">
        <v>320</v>
      </c>
      <c r="C74" s="7">
        <v>2023</v>
      </c>
      <c r="D74" s="7" t="s">
        <v>321</v>
      </c>
      <c r="E74" s="7" t="s">
        <v>322</v>
      </c>
      <c r="F74" s="12" t="s">
        <v>323</v>
      </c>
      <c r="G74" s="7"/>
      <c r="H74" s="7" t="s">
        <v>40</v>
      </c>
      <c r="I74" s="9"/>
    </row>
    <row r="75" spans="1:9" ht="15.75" x14ac:dyDescent="0.25">
      <c r="A75" s="7" t="s">
        <v>324</v>
      </c>
      <c r="B75" s="7" t="s">
        <v>325</v>
      </c>
      <c r="C75" s="7">
        <v>2023</v>
      </c>
      <c r="D75" s="7" t="s">
        <v>326</v>
      </c>
      <c r="E75" s="7" t="s">
        <v>327</v>
      </c>
      <c r="F75" s="12" t="s">
        <v>328</v>
      </c>
      <c r="G75" s="7"/>
      <c r="H75" s="7" t="s">
        <v>40</v>
      </c>
      <c r="I75" s="9"/>
    </row>
    <row r="76" spans="1:9" ht="15.75" x14ac:dyDescent="0.25">
      <c r="A76" s="7" t="s">
        <v>329</v>
      </c>
      <c r="B76" s="7" t="s">
        <v>330</v>
      </c>
      <c r="C76" s="7">
        <v>2020</v>
      </c>
      <c r="D76" s="7" t="s">
        <v>331</v>
      </c>
      <c r="E76" s="7" t="s">
        <v>332</v>
      </c>
      <c r="F76" s="12" t="s">
        <v>333</v>
      </c>
      <c r="G76" s="7"/>
      <c r="H76" s="7" t="s">
        <v>40</v>
      </c>
      <c r="I76" s="9"/>
    </row>
    <row r="77" spans="1:9" ht="15.75" x14ac:dyDescent="0.25">
      <c r="A77" s="7" t="s">
        <v>334</v>
      </c>
      <c r="B77" s="7" t="s">
        <v>335</v>
      </c>
      <c r="C77" s="7">
        <v>2024</v>
      </c>
      <c r="D77" s="7" t="s">
        <v>336</v>
      </c>
      <c r="E77" s="7" t="s">
        <v>151</v>
      </c>
      <c r="F77" s="7"/>
      <c r="G77" s="7" t="s">
        <v>130</v>
      </c>
      <c r="H77" s="7" t="s">
        <v>27</v>
      </c>
      <c r="I77" s="9"/>
    </row>
    <row r="78" spans="1:9" ht="15.75" x14ac:dyDescent="0.25">
      <c r="A78" s="7" t="s">
        <v>337</v>
      </c>
      <c r="B78" s="7" t="s">
        <v>338</v>
      </c>
      <c r="C78" s="7">
        <v>2024</v>
      </c>
      <c r="D78" s="7" t="s">
        <v>339</v>
      </c>
      <c r="E78" s="7" t="s">
        <v>340</v>
      </c>
      <c r="F78" s="7" t="s">
        <v>341</v>
      </c>
      <c r="G78" s="7"/>
      <c r="H78" s="7" t="s">
        <v>40</v>
      </c>
      <c r="I78" s="9"/>
    </row>
    <row r="79" spans="1:9" ht="15.75" x14ac:dyDescent="0.25">
      <c r="A79" s="2" t="s">
        <v>342</v>
      </c>
      <c r="B79" s="2" t="s">
        <v>343</v>
      </c>
      <c r="C79" s="2">
        <v>2022</v>
      </c>
      <c r="D79" s="2" t="str">
        <f>HYPERLINK("http://dx.doi.org/10.3390/economies10060134","http://dx.doi.org/10.3390/economies10060134")</f>
        <v>http://dx.doi.org/10.3390/economies10060134</v>
      </c>
      <c r="E79" s="2" t="s">
        <v>344</v>
      </c>
      <c r="F79" s="2" t="s">
        <v>345</v>
      </c>
      <c r="G79" s="2" t="s">
        <v>55</v>
      </c>
      <c r="H79" s="2" t="str">
        <f>HYPERLINK("https%3A%2F%2Fwww.webofscience.com%2Fwos%2Fwoscc%2Ffull-record%2F","View Full Record in Web of Science")</f>
        <v>View Full Record in Web of Science</v>
      </c>
      <c r="I79" s="3" t="s">
        <v>56</v>
      </c>
    </row>
    <row r="80" spans="1:9" ht="15.75" x14ac:dyDescent="0.25">
      <c r="A80" s="7" t="s">
        <v>346</v>
      </c>
      <c r="B80" s="7" t="s">
        <v>343</v>
      </c>
      <c r="C80" s="7">
        <v>2022</v>
      </c>
      <c r="D80" s="7" t="s">
        <v>347</v>
      </c>
      <c r="E80" s="7" t="s">
        <v>348</v>
      </c>
      <c r="F80" s="7" t="s">
        <v>349</v>
      </c>
      <c r="G80" s="7" t="s">
        <v>55</v>
      </c>
      <c r="H80" s="7" t="s">
        <v>27</v>
      </c>
      <c r="I80" s="9"/>
    </row>
    <row r="81" spans="1:9" ht="15.75" x14ac:dyDescent="0.25">
      <c r="A81" s="7" t="s">
        <v>350</v>
      </c>
      <c r="B81" s="7" t="s">
        <v>351</v>
      </c>
      <c r="C81" s="7">
        <v>2022</v>
      </c>
      <c r="D81" s="7" t="s">
        <v>352</v>
      </c>
      <c r="E81" s="7" t="s">
        <v>353</v>
      </c>
      <c r="F81" s="7" t="s">
        <v>345</v>
      </c>
      <c r="G81" s="7" t="s">
        <v>14</v>
      </c>
      <c r="H81" s="7" t="s">
        <v>15</v>
      </c>
      <c r="I81" s="9" t="s">
        <v>56</v>
      </c>
    </row>
    <row r="82" spans="1:9" ht="15.75" x14ac:dyDescent="0.25">
      <c r="A82" s="7" t="s">
        <v>354</v>
      </c>
      <c r="B82" s="7" t="s">
        <v>355</v>
      </c>
      <c r="C82" s="7">
        <v>2025</v>
      </c>
      <c r="D82" s="8" t="s">
        <v>356</v>
      </c>
      <c r="E82" s="7" t="s">
        <v>357</v>
      </c>
      <c r="F82" s="7" t="s">
        <v>358</v>
      </c>
      <c r="G82" s="7" t="s">
        <v>266</v>
      </c>
      <c r="H82" s="7" t="s">
        <v>15</v>
      </c>
      <c r="I82" s="9"/>
    </row>
    <row r="83" spans="1:9" ht="15.75" x14ac:dyDescent="0.25">
      <c r="A83" s="7" t="s">
        <v>359</v>
      </c>
      <c r="B83" s="7" t="s">
        <v>360</v>
      </c>
      <c r="C83" s="7">
        <v>2022</v>
      </c>
      <c r="D83" s="7" t="s">
        <v>361</v>
      </c>
      <c r="E83" s="7" t="s">
        <v>362</v>
      </c>
      <c r="F83" s="7" t="s">
        <v>363</v>
      </c>
      <c r="G83" s="7" t="s">
        <v>55</v>
      </c>
      <c r="H83" s="7" t="s">
        <v>27</v>
      </c>
      <c r="I83" s="9"/>
    </row>
    <row r="84" spans="1:9" ht="15.75" x14ac:dyDescent="0.25">
      <c r="A84" s="7" t="s">
        <v>364</v>
      </c>
      <c r="B84" s="7" t="s">
        <v>365</v>
      </c>
      <c r="C84" s="7">
        <v>2025</v>
      </c>
      <c r="D84" s="7" t="s">
        <v>366</v>
      </c>
      <c r="E84" s="12" t="s">
        <v>367</v>
      </c>
      <c r="F84" s="12" t="s">
        <v>368</v>
      </c>
      <c r="G84" s="7"/>
      <c r="H84" s="7" t="s">
        <v>40</v>
      </c>
      <c r="I84" s="9"/>
    </row>
    <row r="85" spans="1:9" ht="15.75" x14ac:dyDescent="0.25">
      <c r="A85" s="7" t="s">
        <v>369</v>
      </c>
      <c r="B85" s="7" t="s">
        <v>370</v>
      </c>
      <c r="C85" s="7">
        <v>2024</v>
      </c>
      <c r="D85" s="7" t="s">
        <v>371</v>
      </c>
      <c r="E85" s="12" t="s">
        <v>372</v>
      </c>
      <c r="F85" s="7" t="s">
        <v>373</v>
      </c>
      <c r="G85" s="7"/>
      <c r="H85" s="7" t="s">
        <v>40</v>
      </c>
      <c r="I85" s="9"/>
    </row>
    <row r="86" spans="1:9" ht="15.75" x14ac:dyDescent="0.25">
      <c r="A86" s="2" t="s">
        <v>374</v>
      </c>
      <c r="B86" s="2" t="s">
        <v>375</v>
      </c>
      <c r="C86" s="2">
        <v>2024</v>
      </c>
      <c r="D86" s="2" t="str">
        <f>HYPERLINK("http://dx.doi.org/10.1007/978-3-031-63269-3_17","http://dx.doi.org/10.1007/978-3-031-63269-3_17")</f>
        <v>http://dx.doi.org/10.1007/978-3-031-63269-3_17</v>
      </c>
      <c r="E86" s="2" t="s">
        <v>376</v>
      </c>
      <c r="F86" s="2" t="s">
        <v>377</v>
      </c>
      <c r="G86" s="2" t="s">
        <v>236</v>
      </c>
      <c r="H86" s="2" t="str">
        <f>HYPERLINK("https%3A%2F%2Fwww.webofscience.com%2Fwos%2Fwoscc%2Ffull-record%2F","View Full Record in Web of Science")</f>
        <v>View Full Record in Web of Science</v>
      </c>
      <c r="I86" s="9"/>
    </row>
    <row r="87" spans="1:9" ht="15.75" x14ac:dyDescent="0.25">
      <c r="A87" s="7" t="s">
        <v>378</v>
      </c>
      <c r="B87" s="7" t="s">
        <v>379</v>
      </c>
      <c r="C87" s="7">
        <v>2024</v>
      </c>
      <c r="D87" s="7" t="s">
        <v>380</v>
      </c>
      <c r="E87" s="7" t="s">
        <v>381</v>
      </c>
      <c r="F87" s="7" t="s">
        <v>382</v>
      </c>
      <c r="G87" s="7" t="s">
        <v>232</v>
      </c>
      <c r="H87" s="7" t="s">
        <v>27</v>
      </c>
      <c r="I87" s="9" t="s">
        <v>56</v>
      </c>
    </row>
    <row r="88" spans="1:9" ht="15.75" x14ac:dyDescent="0.25">
      <c r="A88" s="7" t="s">
        <v>378</v>
      </c>
      <c r="B88" s="7" t="s">
        <v>379</v>
      </c>
      <c r="C88" s="7">
        <v>2024</v>
      </c>
      <c r="D88" s="7" t="s">
        <v>380</v>
      </c>
      <c r="E88" s="7" t="s">
        <v>381</v>
      </c>
      <c r="F88" s="7" t="s">
        <v>382</v>
      </c>
      <c r="G88" s="7"/>
      <c r="H88" s="7" t="s">
        <v>232</v>
      </c>
      <c r="I88" s="9" t="s">
        <v>31</v>
      </c>
    </row>
    <row r="89" spans="1:9" ht="15.75" x14ac:dyDescent="0.25">
      <c r="A89" s="7" t="s">
        <v>383</v>
      </c>
      <c r="B89" s="7" t="s">
        <v>384</v>
      </c>
      <c r="C89" s="7">
        <v>2020</v>
      </c>
      <c r="D89" s="7" t="s">
        <v>385</v>
      </c>
      <c r="E89" s="12" t="s">
        <v>386</v>
      </c>
      <c r="F89" s="7" t="s">
        <v>387</v>
      </c>
      <c r="G89" s="7" t="s">
        <v>287</v>
      </c>
      <c r="H89" s="7" t="s">
        <v>40</v>
      </c>
      <c r="I89" s="9"/>
    </row>
    <row r="90" spans="1:9" ht="15.75" x14ac:dyDescent="0.25">
      <c r="A90" s="7" t="s">
        <v>388</v>
      </c>
      <c r="B90" s="7" t="s">
        <v>389</v>
      </c>
      <c r="C90" s="7">
        <v>2023</v>
      </c>
      <c r="D90" s="7" t="s">
        <v>390</v>
      </c>
      <c r="E90" s="7" t="s">
        <v>391</v>
      </c>
      <c r="F90" s="7" t="s">
        <v>392</v>
      </c>
      <c r="G90" s="7"/>
      <c r="H90" s="7" t="s">
        <v>40</v>
      </c>
      <c r="I90" s="9"/>
    </row>
    <row r="91" spans="1:9" ht="15.75" x14ac:dyDescent="0.25">
      <c r="A91" s="7" t="s">
        <v>393</v>
      </c>
      <c r="B91" s="7" t="s">
        <v>394</v>
      </c>
      <c r="C91" s="7">
        <v>2024</v>
      </c>
      <c r="D91" s="7" t="s">
        <v>395</v>
      </c>
      <c r="E91" s="7" t="s">
        <v>396</v>
      </c>
      <c r="F91" s="7" t="s">
        <v>397</v>
      </c>
      <c r="G91" s="7"/>
      <c r="H91" s="7" t="s">
        <v>40</v>
      </c>
      <c r="I91" s="9"/>
    </row>
    <row r="92" spans="1:9" ht="15.75" x14ac:dyDescent="0.25">
      <c r="A92" s="7" t="s">
        <v>398</v>
      </c>
      <c r="B92" s="7" t="s">
        <v>399</v>
      </c>
      <c r="C92" s="7">
        <v>2025</v>
      </c>
      <c r="D92" s="7" t="s">
        <v>400</v>
      </c>
      <c r="E92" s="7" t="s">
        <v>401</v>
      </c>
      <c r="F92" s="7" t="s">
        <v>402</v>
      </c>
      <c r="G92" s="7"/>
      <c r="H92" s="7" t="s">
        <v>40</v>
      </c>
      <c r="I92" s="9"/>
    </row>
    <row r="93" spans="1:9" ht="15.75" x14ac:dyDescent="0.25">
      <c r="A93" s="7" t="s">
        <v>403</v>
      </c>
      <c r="B93" s="7" t="s">
        <v>404</v>
      </c>
      <c r="C93" s="7">
        <v>2025</v>
      </c>
      <c r="D93" s="7" t="s">
        <v>405</v>
      </c>
      <c r="E93" s="7" t="s">
        <v>406</v>
      </c>
      <c r="F93" s="7" t="s">
        <v>407</v>
      </c>
      <c r="G93" s="7"/>
      <c r="H93" s="7" t="s">
        <v>55</v>
      </c>
      <c r="I93" s="9"/>
    </row>
    <row r="94" spans="1:9" ht="15.75" x14ac:dyDescent="0.25">
      <c r="A94" s="7" t="s">
        <v>403</v>
      </c>
      <c r="B94" s="7" t="s">
        <v>404</v>
      </c>
      <c r="C94" s="7">
        <v>2025</v>
      </c>
      <c r="D94" s="7" t="s">
        <v>405</v>
      </c>
      <c r="E94" s="7" t="s">
        <v>406</v>
      </c>
      <c r="F94" s="7" t="s">
        <v>407</v>
      </c>
      <c r="G94" s="7" t="s">
        <v>55</v>
      </c>
      <c r="H94" s="7" t="s">
        <v>27</v>
      </c>
      <c r="I94" s="9"/>
    </row>
    <row r="95" spans="1:9" ht="15.75" x14ac:dyDescent="0.25">
      <c r="A95" s="7" t="s">
        <v>408</v>
      </c>
      <c r="B95" s="7" t="s">
        <v>409</v>
      </c>
      <c r="C95" s="7">
        <v>2025</v>
      </c>
      <c r="D95" s="7" t="s">
        <v>410</v>
      </c>
      <c r="E95" s="7" t="s">
        <v>411</v>
      </c>
      <c r="F95" s="7" t="s">
        <v>20</v>
      </c>
      <c r="G95" s="7" t="s">
        <v>14</v>
      </c>
      <c r="H95" s="7" t="s">
        <v>15</v>
      </c>
      <c r="I95" s="9"/>
    </row>
    <row r="96" spans="1:9" ht="15.75" x14ac:dyDescent="0.25">
      <c r="A96" s="7" t="s">
        <v>412</v>
      </c>
      <c r="B96" s="7" t="s">
        <v>413</v>
      </c>
      <c r="C96" s="7">
        <v>2021</v>
      </c>
      <c r="D96" s="7" t="s">
        <v>414</v>
      </c>
      <c r="E96" s="7" t="s">
        <v>415</v>
      </c>
      <c r="F96" s="7" t="s">
        <v>416</v>
      </c>
      <c r="G96" s="7" t="s">
        <v>215</v>
      </c>
      <c r="H96" s="7" t="s">
        <v>216</v>
      </c>
      <c r="I96" s="9" t="s">
        <v>56</v>
      </c>
    </row>
    <row r="97" spans="1:9" ht="15.75" x14ac:dyDescent="0.25">
      <c r="A97" s="7" t="s">
        <v>417</v>
      </c>
      <c r="B97" s="7" t="s">
        <v>413</v>
      </c>
      <c r="C97" s="7">
        <v>2021</v>
      </c>
      <c r="D97" s="7" t="s">
        <v>418</v>
      </c>
      <c r="E97" s="7" t="s">
        <v>419</v>
      </c>
      <c r="F97" s="7" t="s">
        <v>420</v>
      </c>
      <c r="G97" s="7" t="s">
        <v>232</v>
      </c>
      <c r="H97" s="7" t="s">
        <v>27</v>
      </c>
      <c r="I97" s="9"/>
    </row>
    <row r="98" spans="1:9" ht="15.75" x14ac:dyDescent="0.25">
      <c r="A98" s="7" t="s">
        <v>421</v>
      </c>
      <c r="B98" s="7" t="s">
        <v>422</v>
      </c>
      <c r="C98" s="7">
        <v>2025</v>
      </c>
      <c r="D98" s="7" t="s">
        <v>423</v>
      </c>
      <c r="E98" s="12" t="s">
        <v>424</v>
      </c>
      <c r="F98" s="7" t="s">
        <v>425</v>
      </c>
      <c r="G98" s="7"/>
      <c r="H98" s="7" t="s">
        <v>40</v>
      </c>
      <c r="I98" s="9"/>
    </row>
    <row r="99" spans="1:9" ht="15.75" x14ac:dyDescent="0.25">
      <c r="A99" s="7" t="s">
        <v>426</v>
      </c>
      <c r="B99" s="7" t="s">
        <v>427</v>
      </c>
      <c r="C99" s="7">
        <v>2025</v>
      </c>
      <c r="D99" s="7" t="s">
        <v>428</v>
      </c>
      <c r="E99" s="7" t="s">
        <v>429</v>
      </c>
      <c r="F99" s="7" t="s">
        <v>430</v>
      </c>
      <c r="G99" s="7"/>
      <c r="H99" s="7" t="s">
        <v>130</v>
      </c>
      <c r="I99" s="9"/>
    </row>
    <row r="100" spans="1:9" ht="15.75" x14ac:dyDescent="0.25">
      <c r="A100" s="7" t="s">
        <v>431</v>
      </c>
      <c r="B100" s="7" t="s">
        <v>432</v>
      </c>
      <c r="C100" s="7">
        <v>2023</v>
      </c>
      <c r="D100" s="7" t="s">
        <v>433</v>
      </c>
      <c r="E100" s="12" t="s">
        <v>434</v>
      </c>
      <c r="F100" s="7" t="s">
        <v>435</v>
      </c>
      <c r="G100" s="7"/>
      <c r="H100" s="7" t="s">
        <v>40</v>
      </c>
      <c r="I100" s="9"/>
    </row>
    <row r="101" spans="1:9" ht="15.75" x14ac:dyDescent="0.25">
      <c r="A101" s="7" t="s">
        <v>436</v>
      </c>
      <c r="B101" s="7" t="s">
        <v>437</v>
      </c>
      <c r="C101" s="7">
        <v>2022</v>
      </c>
      <c r="D101" s="8" t="s">
        <v>438</v>
      </c>
      <c r="E101" s="7" t="s">
        <v>439</v>
      </c>
      <c r="F101" s="7" t="s">
        <v>440</v>
      </c>
      <c r="G101" s="7" t="s">
        <v>14</v>
      </c>
      <c r="H101" s="7" t="s">
        <v>15</v>
      </c>
      <c r="I101" s="9"/>
    </row>
    <row r="102" spans="1:9" ht="15.75" x14ac:dyDescent="0.25">
      <c r="A102" s="7" t="s">
        <v>441</v>
      </c>
      <c r="B102" s="7" t="s">
        <v>442</v>
      </c>
      <c r="C102" s="7">
        <v>2024</v>
      </c>
      <c r="D102" s="7" t="s">
        <v>443</v>
      </c>
      <c r="E102" s="7" t="s">
        <v>444</v>
      </c>
      <c r="F102" s="7" t="s">
        <v>445</v>
      </c>
      <c r="G102" s="7"/>
      <c r="H102" s="7" t="s">
        <v>55</v>
      </c>
      <c r="I102" s="9" t="s">
        <v>56</v>
      </c>
    </row>
    <row r="103" spans="1:9" ht="15.75" x14ac:dyDescent="0.25">
      <c r="A103" s="7" t="s">
        <v>441</v>
      </c>
      <c r="B103" s="7" t="s">
        <v>442</v>
      </c>
      <c r="C103" s="7">
        <v>2024</v>
      </c>
      <c r="D103" s="7" t="s">
        <v>443</v>
      </c>
      <c r="E103" s="7" t="s">
        <v>444</v>
      </c>
      <c r="F103" s="7" t="s">
        <v>445</v>
      </c>
      <c r="G103" s="7" t="s">
        <v>55</v>
      </c>
      <c r="H103" s="7" t="s">
        <v>27</v>
      </c>
      <c r="I103" s="9" t="s">
        <v>31</v>
      </c>
    </row>
    <row r="104" spans="1:9" ht="15.75" x14ac:dyDescent="0.25">
      <c r="A104" s="7" t="s">
        <v>446</v>
      </c>
      <c r="B104" s="7" t="s">
        <v>442</v>
      </c>
      <c r="C104" s="7">
        <v>2023</v>
      </c>
      <c r="D104" s="8" t="s">
        <v>447</v>
      </c>
      <c r="E104" s="7" t="s">
        <v>448</v>
      </c>
      <c r="F104" s="7" t="s">
        <v>449</v>
      </c>
      <c r="G104" s="7" t="s">
        <v>14</v>
      </c>
      <c r="H104" s="7" t="s">
        <v>15</v>
      </c>
      <c r="I104" s="9"/>
    </row>
    <row r="105" spans="1:9" ht="15.75" x14ac:dyDescent="0.25">
      <c r="A105" s="7" t="s">
        <v>450</v>
      </c>
      <c r="B105" s="7" t="s">
        <v>451</v>
      </c>
      <c r="C105" s="7">
        <v>2025</v>
      </c>
      <c r="D105" s="8" t="s">
        <v>452</v>
      </c>
      <c r="E105" s="7" t="s">
        <v>453</v>
      </c>
      <c r="F105" s="7" t="s">
        <v>454</v>
      </c>
      <c r="G105" s="7" t="s">
        <v>14</v>
      </c>
      <c r="H105" s="7" t="s">
        <v>15</v>
      </c>
      <c r="I105" s="9" t="s">
        <v>56</v>
      </c>
    </row>
    <row r="106" spans="1:9" ht="15.75" x14ac:dyDescent="0.25">
      <c r="A106" s="7" t="s">
        <v>455</v>
      </c>
      <c r="B106" s="7" t="s">
        <v>451</v>
      </c>
      <c r="C106" s="7">
        <v>2025</v>
      </c>
      <c r="D106" s="7" t="s">
        <v>456</v>
      </c>
      <c r="E106" s="7" t="s">
        <v>453</v>
      </c>
      <c r="F106" s="7" t="s">
        <v>457</v>
      </c>
      <c r="G106" s="7"/>
      <c r="H106" s="7" t="s">
        <v>40</v>
      </c>
      <c r="I106" s="9"/>
    </row>
    <row r="107" spans="1:9" ht="15.75" x14ac:dyDescent="0.25">
      <c r="A107" s="7" t="s">
        <v>458</v>
      </c>
      <c r="B107" s="7" t="s">
        <v>459</v>
      </c>
      <c r="C107" s="7">
        <v>2021</v>
      </c>
      <c r="D107" s="8" t="s">
        <v>460</v>
      </c>
      <c r="E107" s="7" t="s">
        <v>461</v>
      </c>
      <c r="F107" s="7" t="s">
        <v>462</v>
      </c>
      <c r="G107" s="7" t="s">
        <v>14</v>
      </c>
      <c r="H107" s="7" t="s">
        <v>15</v>
      </c>
      <c r="I107" s="9" t="s">
        <v>56</v>
      </c>
    </row>
    <row r="108" spans="1:9" ht="15.75" x14ac:dyDescent="0.25">
      <c r="A108" s="7" t="s">
        <v>463</v>
      </c>
      <c r="B108" s="7" t="s">
        <v>459</v>
      </c>
      <c r="C108" s="7">
        <v>2021</v>
      </c>
      <c r="D108" s="7" t="s">
        <v>464</v>
      </c>
      <c r="E108" s="7" t="s">
        <v>465</v>
      </c>
      <c r="F108" s="7" t="s">
        <v>466</v>
      </c>
      <c r="G108" s="7" t="s">
        <v>55</v>
      </c>
      <c r="H108" s="7" t="s">
        <v>27</v>
      </c>
      <c r="I108" s="9" t="s">
        <v>31</v>
      </c>
    </row>
    <row r="109" spans="1:9" ht="15.75" x14ac:dyDescent="0.25">
      <c r="A109" s="2" t="s">
        <v>467</v>
      </c>
      <c r="B109" s="2" t="s">
        <v>459</v>
      </c>
      <c r="C109" s="2">
        <v>2021</v>
      </c>
      <c r="D109" s="2" t="str">
        <f>HYPERLINK("http://dx.doi.org/10.1186/s40537-020-00405-7","http://dx.doi.org/10.1186/s40537-020-00405-7")</f>
        <v>http://dx.doi.org/10.1186/s40537-020-00405-7</v>
      </c>
      <c r="E109" s="2" t="s">
        <v>468</v>
      </c>
      <c r="F109" s="2" t="s">
        <v>469</v>
      </c>
      <c r="G109" s="2" t="s">
        <v>55</v>
      </c>
      <c r="H109" s="2" t="str">
        <f>HYPERLINK("https%3A%2F%2Fwww.webofscience.com%2Fwos%2Fwoscc%2Ffull-record%2F","View Full Record in Web of Science")</f>
        <v>View Full Record in Web of Science</v>
      </c>
      <c r="I109" s="9"/>
    </row>
    <row r="110" spans="1:9" ht="15.75" x14ac:dyDescent="0.25">
      <c r="A110" s="7" t="s">
        <v>470</v>
      </c>
      <c r="B110" s="7" t="s">
        <v>471</v>
      </c>
      <c r="C110" s="7">
        <v>2020</v>
      </c>
      <c r="D110" s="7" t="s">
        <v>472</v>
      </c>
      <c r="E110" s="7" t="s">
        <v>473</v>
      </c>
      <c r="F110" s="7" t="s">
        <v>474</v>
      </c>
      <c r="G110" s="7" t="s">
        <v>14</v>
      </c>
      <c r="H110" s="7" t="s">
        <v>15</v>
      </c>
      <c r="I110" s="9"/>
    </row>
    <row r="111" spans="1:9" ht="15.75" x14ac:dyDescent="0.25">
      <c r="A111" s="7" t="s">
        <v>475</v>
      </c>
      <c r="B111" s="7" t="s">
        <v>476</v>
      </c>
      <c r="C111" s="7">
        <v>2023</v>
      </c>
      <c r="D111" s="7" t="s">
        <v>477</v>
      </c>
      <c r="E111" s="7" t="s">
        <v>478</v>
      </c>
      <c r="F111" s="7" t="s">
        <v>479</v>
      </c>
      <c r="G111" s="7" t="s">
        <v>55</v>
      </c>
      <c r="H111" s="7" t="s">
        <v>27</v>
      </c>
      <c r="I111" s="9"/>
    </row>
    <row r="112" spans="1:9" ht="15.75" x14ac:dyDescent="0.25">
      <c r="A112" s="7" t="s">
        <v>480</v>
      </c>
      <c r="B112" s="7" t="s">
        <v>481</v>
      </c>
      <c r="C112" s="7">
        <v>2025</v>
      </c>
      <c r="D112" s="7" t="s">
        <v>482</v>
      </c>
      <c r="E112" s="7" t="s">
        <v>483</v>
      </c>
      <c r="F112" s="7" t="s">
        <v>484</v>
      </c>
      <c r="G112" s="7" t="s">
        <v>130</v>
      </c>
      <c r="H112" s="7" t="s">
        <v>27</v>
      </c>
      <c r="I112" s="9"/>
    </row>
    <row r="113" spans="1:9" ht="15.75" x14ac:dyDescent="0.25">
      <c r="A113" s="2" t="s">
        <v>485</v>
      </c>
      <c r="B113" s="2" t="s">
        <v>486</v>
      </c>
      <c r="C113" s="2">
        <v>2024</v>
      </c>
      <c r="D113" s="2" t="str">
        <f>HYPERLINK("http://dx.doi.org/10.3390/logistics8010021","http://dx.doi.org/10.3390/logistics8010021")</f>
        <v>http://dx.doi.org/10.3390/logistics8010021</v>
      </c>
      <c r="E113" s="2" t="s">
        <v>487</v>
      </c>
      <c r="F113" s="2" t="s">
        <v>488</v>
      </c>
      <c r="G113" s="2" t="s">
        <v>318</v>
      </c>
      <c r="H113" s="2" t="str">
        <f>HYPERLINK("https%3A%2F%2Fwww.webofscience.com%2Fwos%2Fwoscc%2Ffull-record%2F","View Full Record in Web of Science")</f>
        <v>View Full Record in Web of Science</v>
      </c>
      <c r="I113" s="3" t="s">
        <v>56</v>
      </c>
    </row>
    <row r="114" spans="1:9" ht="15.75" x14ac:dyDescent="0.25">
      <c r="A114" s="7" t="s">
        <v>489</v>
      </c>
      <c r="B114" s="7" t="s">
        <v>486</v>
      </c>
      <c r="C114" s="7">
        <v>2024</v>
      </c>
      <c r="D114" s="7" t="s">
        <v>490</v>
      </c>
      <c r="E114" s="7" t="s">
        <v>491</v>
      </c>
      <c r="F114" s="7" t="s">
        <v>492</v>
      </c>
      <c r="G114" s="7" t="s">
        <v>318</v>
      </c>
      <c r="H114" s="7" t="s">
        <v>27</v>
      </c>
      <c r="I114" s="9"/>
    </row>
    <row r="115" spans="1:9" ht="15.75" x14ac:dyDescent="0.25">
      <c r="A115" s="2" t="s">
        <v>493</v>
      </c>
      <c r="B115" s="2" t="s">
        <v>494</v>
      </c>
      <c r="C115" s="2">
        <v>2022</v>
      </c>
      <c r="D115" s="2" t="str">
        <f>HYPERLINK("http://dx.doi.org/10.3390/su14010083","http://dx.doi.org/10.3390/su14010083")</f>
        <v>http://dx.doi.org/10.3390/su14010083</v>
      </c>
      <c r="E115" s="2" t="s">
        <v>495</v>
      </c>
      <c r="F115" s="2" t="s">
        <v>496</v>
      </c>
      <c r="G115" s="2" t="s">
        <v>55</v>
      </c>
      <c r="H115" s="2" t="str">
        <f>HYPERLINK("https%3A%2F%2Fwww.webofscience.com%2Fwos%2Fwoscc%2Ffull-record%2F","View Full Record in Web of Science")</f>
        <v>View Full Record in Web of Science</v>
      </c>
      <c r="I115" s="9"/>
    </row>
    <row r="116" spans="1:9" ht="15.75" x14ac:dyDescent="0.25">
      <c r="A116" s="7" t="s">
        <v>497</v>
      </c>
      <c r="B116" s="7" t="s">
        <v>498</v>
      </c>
      <c r="C116" s="7">
        <v>2024</v>
      </c>
      <c r="D116" s="7" t="s">
        <v>499</v>
      </c>
      <c r="E116" s="7" t="s">
        <v>500</v>
      </c>
      <c r="F116" s="7" t="s">
        <v>501</v>
      </c>
      <c r="G116" s="7"/>
      <c r="H116" s="7" t="s">
        <v>232</v>
      </c>
      <c r="I116" s="9" t="s">
        <v>56</v>
      </c>
    </row>
    <row r="117" spans="1:9" ht="15.75" x14ac:dyDescent="0.25">
      <c r="A117" s="7" t="s">
        <v>502</v>
      </c>
      <c r="B117" s="7" t="s">
        <v>498</v>
      </c>
      <c r="C117" s="7">
        <v>2024</v>
      </c>
      <c r="D117" s="8" t="s">
        <v>503</v>
      </c>
      <c r="E117" s="7" t="s">
        <v>504</v>
      </c>
      <c r="F117" s="7"/>
      <c r="G117" s="7" t="s">
        <v>266</v>
      </c>
      <c r="H117" s="7" t="s">
        <v>15</v>
      </c>
      <c r="I117" s="9" t="s">
        <v>56</v>
      </c>
    </row>
    <row r="118" spans="1:9" ht="15.75" x14ac:dyDescent="0.25">
      <c r="A118" s="7" t="s">
        <v>497</v>
      </c>
      <c r="B118" s="7" t="s">
        <v>498</v>
      </c>
      <c r="C118" s="7">
        <v>2024</v>
      </c>
      <c r="D118" s="7" t="s">
        <v>499</v>
      </c>
      <c r="E118" s="7" t="s">
        <v>500</v>
      </c>
      <c r="F118" s="7" t="s">
        <v>501</v>
      </c>
      <c r="G118" s="7" t="s">
        <v>232</v>
      </c>
      <c r="H118" s="7" t="s">
        <v>27</v>
      </c>
      <c r="I118" s="9"/>
    </row>
    <row r="119" spans="1:9" ht="15.75" x14ac:dyDescent="0.25">
      <c r="A119" s="2" t="s">
        <v>505</v>
      </c>
      <c r="B119" s="2" t="s">
        <v>506</v>
      </c>
      <c r="C119" s="2">
        <v>2025</v>
      </c>
      <c r="D119" s="2" t="str">
        <f>HYPERLINK("http://dx.doi.org/10.1108/JIMA-06-2024-0258","http://dx.doi.org/10.1108/JIMA-06-2024-0258")</f>
        <v>http://dx.doi.org/10.1108/JIMA-06-2024-0258</v>
      </c>
      <c r="E119" s="2" t="s">
        <v>507</v>
      </c>
      <c r="F119" s="2" t="s">
        <v>508</v>
      </c>
      <c r="G119" s="2" t="s">
        <v>55</v>
      </c>
      <c r="H119" s="2" t="str">
        <f>HYPERLINK("https%3A%2F%2Fwww.webofscience.com%2Fwos%2Fwoscc%2Ffull-record%2F","View Full Record in Web of Science")</f>
        <v>View Full Record in Web of Science</v>
      </c>
      <c r="I119" s="3" t="s">
        <v>56</v>
      </c>
    </row>
    <row r="120" spans="1:9" ht="15.75" x14ac:dyDescent="0.25">
      <c r="A120" s="7" t="s">
        <v>509</v>
      </c>
      <c r="B120" s="7" t="s">
        <v>510</v>
      </c>
      <c r="C120" s="7">
        <v>2025</v>
      </c>
      <c r="D120" s="7" t="s">
        <v>511</v>
      </c>
      <c r="E120" s="7" t="s">
        <v>512</v>
      </c>
      <c r="F120" s="7" t="s">
        <v>513</v>
      </c>
      <c r="G120" s="7" t="s">
        <v>318</v>
      </c>
      <c r="H120" s="7" t="s">
        <v>27</v>
      </c>
      <c r="I120" s="9"/>
    </row>
    <row r="121" spans="1:9" ht="15.75" x14ac:dyDescent="0.25">
      <c r="A121" s="7" t="s">
        <v>514</v>
      </c>
      <c r="B121" s="7" t="s">
        <v>515</v>
      </c>
      <c r="C121" s="7">
        <v>2023</v>
      </c>
      <c r="D121" s="7" t="s">
        <v>516</v>
      </c>
      <c r="E121" s="7" t="s">
        <v>517</v>
      </c>
      <c r="F121" s="12" t="s">
        <v>518</v>
      </c>
      <c r="G121" s="7"/>
      <c r="H121" s="7" t="s">
        <v>40</v>
      </c>
      <c r="I121" s="9"/>
    </row>
    <row r="122" spans="1:9" ht="15.75" x14ac:dyDescent="0.25">
      <c r="A122" s="7" t="s">
        <v>519</v>
      </c>
      <c r="B122" s="7" t="s">
        <v>520</v>
      </c>
      <c r="C122" s="7">
        <v>2023</v>
      </c>
      <c r="D122" s="7" t="s">
        <v>521</v>
      </c>
      <c r="E122" s="7" t="s">
        <v>522</v>
      </c>
      <c r="F122" s="7" t="s">
        <v>523</v>
      </c>
      <c r="G122" s="7" t="s">
        <v>215</v>
      </c>
      <c r="H122" s="7" t="s">
        <v>216</v>
      </c>
      <c r="I122" s="9" t="s">
        <v>56</v>
      </c>
    </row>
    <row r="123" spans="1:9" ht="15.75" x14ac:dyDescent="0.25">
      <c r="A123" s="7" t="s">
        <v>524</v>
      </c>
      <c r="B123" s="7" t="s">
        <v>520</v>
      </c>
      <c r="C123" s="7">
        <v>2023</v>
      </c>
      <c r="D123" s="7" t="s">
        <v>525</v>
      </c>
      <c r="E123" s="7" t="s">
        <v>526</v>
      </c>
      <c r="F123" s="7" t="s">
        <v>527</v>
      </c>
      <c r="G123" s="7" t="s">
        <v>232</v>
      </c>
      <c r="H123" s="7" t="s">
        <v>27</v>
      </c>
      <c r="I123" s="9"/>
    </row>
    <row r="124" spans="1:9" ht="15.75" x14ac:dyDescent="0.25">
      <c r="A124" s="7" t="s">
        <v>528</v>
      </c>
      <c r="B124" s="7" t="s">
        <v>529</v>
      </c>
      <c r="C124" s="7">
        <v>2025</v>
      </c>
      <c r="D124" s="7" t="s">
        <v>530</v>
      </c>
      <c r="E124" s="7" t="s">
        <v>531</v>
      </c>
      <c r="F124" s="7"/>
      <c r="G124" s="7" t="s">
        <v>130</v>
      </c>
      <c r="H124" s="7" t="s">
        <v>27</v>
      </c>
      <c r="I124" s="9" t="s">
        <v>31</v>
      </c>
    </row>
    <row r="125" spans="1:9" ht="15.75" x14ac:dyDescent="0.25">
      <c r="A125" s="7" t="s">
        <v>528</v>
      </c>
      <c r="B125" s="7" t="s">
        <v>529</v>
      </c>
      <c r="C125" s="7">
        <v>2025</v>
      </c>
      <c r="D125" s="7" t="s">
        <v>530</v>
      </c>
      <c r="E125" s="7" t="s">
        <v>531</v>
      </c>
      <c r="F125" s="7"/>
      <c r="G125" s="7"/>
      <c r="H125" s="7" t="s">
        <v>130</v>
      </c>
      <c r="I125" s="9" t="s">
        <v>31</v>
      </c>
    </row>
    <row r="126" spans="1:9" ht="15.75" x14ac:dyDescent="0.25">
      <c r="A126" s="7" t="s">
        <v>532</v>
      </c>
      <c r="B126" s="7" t="s">
        <v>533</v>
      </c>
      <c r="C126" s="7">
        <v>2024</v>
      </c>
      <c r="D126" s="7" t="s">
        <v>534</v>
      </c>
      <c r="E126" s="7" t="s">
        <v>535</v>
      </c>
      <c r="F126" s="7" t="s">
        <v>536</v>
      </c>
      <c r="G126" s="7" t="s">
        <v>130</v>
      </c>
      <c r="H126" s="7" t="s">
        <v>27</v>
      </c>
      <c r="I126" s="9"/>
    </row>
    <row r="127" spans="1:9" ht="15.75" x14ac:dyDescent="0.25">
      <c r="A127" s="7" t="s">
        <v>532</v>
      </c>
      <c r="B127" s="7" t="s">
        <v>533</v>
      </c>
      <c r="C127" s="7">
        <v>2024</v>
      </c>
      <c r="D127" s="7" t="s">
        <v>534</v>
      </c>
      <c r="E127" s="7" t="s">
        <v>535</v>
      </c>
      <c r="F127" s="7" t="s">
        <v>536</v>
      </c>
      <c r="G127" s="7"/>
      <c r="H127" s="7" t="s">
        <v>130</v>
      </c>
      <c r="I127" s="9"/>
    </row>
    <row r="128" spans="1:9" ht="15.75" x14ac:dyDescent="0.25">
      <c r="A128" s="7" t="s">
        <v>537</v>
      </c>
      <c r="B128" s="7" t="s">
        <v>538</v>
      </c>
      <c r="C128" s="7">
        <v>2023</v>
      </c>
      <c r="D128" s="7" t="s">
        <v>539</v>
      </c>
      <c r="E128" s="7" t="s">
        <v>540</v>
      </c>
      <c r="F128" s="7" t="s">
        <v>541</v>
      </c>
      <c r="G128" s="7" t="s">
        <v>318</v>
      </c>
      <c r="H128" s="7" t="s">
        <v>27</v>
      </c>
      <c r="I128" s="9" t="s">
        <v>31</v>
      </c>
    </row>
    <row r="129" spans="1:9" ht="15.75" x14ac:dyDescent="0.25">
      <c r="A129" s="2" t="s">
        <v>542</v>
      </c>
      <c r="B129" s="2" t="s">
        <v>538</v>
      </c>
      <c r="C129" s="2">
        <v>2023</v>
      </c>
      <c r="D129" s="2" t="str">
        <f>HYPERLINK("http://dx.doi.org/10.3390/info14100557","http://dx.doi.org/10.3390/info14100557")</f>
        <v>http://dx.doi.org/10.3390/info14100557</v>
      </c>
      <c r="E129" s="2" t="s">
        <v>543</v>
      </c>
      <c r="F129" s="2" t="s">
        <v>544</v>
      </c>
      <c r="G129" s="2" t="s">
        <v>318</v>
      </c>
      <c r="H129" s="2" t="str">
        <f>HYPERLINK("https%3A%2F%2Fwww.webofscience.com%2Fwos%2Fwoscc%2Ffull-record%2F","View Full Record in Web of Science")</f>
        <v>View Full Record in Web of Science</v>
      </c>
      <c r="I129" s="9" t="s">
        <v>31</v>
      </c>
    </row>
    <row r="130" spans="1:9" ht="15.75" x14ac:dyDescent="0.25">
      <c r="A130" s="7" t="s">
        <v>545</v>
      </c>
      <c r="B130" s="7" t="s">
        <v>546</v>
      </c>
      <c r="C130" s="7">
        <v>2023</v>
      </c>
      <c r="D130" s="7" t="s">
        <v>547</v>
      </c>
      <c r="E130" s="12" t="s">
        <v>548</v>
      </c>
      <c r="F130" s="7" t="s">
        <v>549</v>
      </c>
      <c r="G130" s="7"/>
      <c r="H130" s="7" t="s">
        <v>40</v>
      </c>
      <c r="I130" s="9"/>
    </row>
    <row r="131" spans="1:9" ht="15.75" x14ac:dyDescent="0.25">
      <c r="A131" s="7" t="s">
        <v>550</v>
      </c>
      <c r="B131" s="7" t="s">
        <v>551</v>
      </c>
      <c r="C131" s="7">
        <v>2022</v>
      </c>
      <c r="D131" s="7" t="s">
        <v>552</v>
      </c>
      <c r="E131" s="12" t="s">
        <v>553</v>
      </c>
      <c r="F131" s="12" t="s">
        <v>554</v>
      </c>
      <c r="G131" s="7"/>
      <c r="H131" s="7" t="s">
        <v>40</v>
      </c>
      <c r="I131" s="9"/>
    </row>
    <row r="132" spans="1:9" ht="15.75" x14ac:dyDescent="0.25">
      <c r="A132" s="7" t="s">
        <v>555</v>
      </c>
      <c r="B132" s="7" t="s">
        <v>556</v>
      </c>
      <c r="C132" s="7">
        <v>2024</v>
      </c>
      <c r="D132" s="7" t="s">
        <v>557</v>
      </c>
      <c r="E132" s="7" t="s">
        <v>558</v>
      </c>
      <c r="F132" s="7" t="s">
        <v>559</v>
      </c>
      <c r="G132" s="7"/>
      <c r="H132" s="7" t="s">
        <v>55</v>
      </c>
      <c r="I132" s="9" t="s">
        <v>56</v>
      </c>
    </row>
    <row r="133" spans="1:9" ht="15.75" x14ac:dyDescent="0.25">
      <c r="A133" s="7" t="s">
        <v>555</v>
      </c>
      <c r="B133" s="7" t="s">
        <v>556</v>
      </c>
      <c r="C133" s="7">
        <v>2024</v>
      </c>
      <c r="D133" s="7" t="s">
        <v>557</v>
      </c>
      <c r="E133" s="7" t="s">
        <v>558</v>
      </c>
      <c r="F133" s="7" t="s">
        <v>559</v>
      </c>
      <c r="G133" s="7" t="s">
        <v>55</v>
      </c>
      <c r="H133" s="7" t="s">
        <v>27</v>
      </c>
      <c r="I133" s="9"/>
    </row>
    <row r="134" spans="1:9" ht="15.75" x14ac:dyDescent="0.25">
      <c r="A134" s="7" t="s">
        <v>560</v>
      </c>
      <c r="B134" s="7" t="s">
        <v>561</v>
      </c>
      <c r="C134" s="7">
        <v>2021</v>
      </c>
      <c r="D134" s="7" t="s">
        <v>562</v>
      </c>
      <c r="E134" s="7"/>
      <c r="F134" s="7"/>
      <c r="G134" s="7"/>
      <c r="H134" s="7" t="s">
        <v>40</v>
      </c>
      <c r="I134" s="9"/>
    </row>
    <row r="135" spans="1:9" ht="15.75" x14ac:dyDescent="0.25">
      <c r="A135" s="7" t="s">
        <v>563</v>
      </c>
      <c r="B135" s="7" t="s">
        <v>564</v>
      </c>
      <c r="C135" s="7">
        <v>2022</v>
      </c>
      <c r="D135" s="7" t="s">
        <v>565</v>
      </c>
      <c r="E135" s="7" t="s">
        <v>566</v>
      </c>
      <c r="F135" s="7" t="s">
        <v>567</v>
      </c>
      <c r="G135" s="7"/>
      <c r="H135" s="7" t="s">
        <v>55</v>
      </c>
      <c r="I135" s="9" t="s">
        <v>56</v>
      </c>
    </row>
    <row r="136" spans="1:9" ht="15.75" x14ac:dyDescent="0.25">
      <c r="A136" s="7" t="s">
        <v>563</v>
      </c>
      <c r="B136" s="7" t="s">
        <v>564</v>
      </c>
      <c r="C136" s="7">
        <v>2022</v>
      </c>
      <c r="D136" s="7" t="s">
        <v>565</v>
      </c>
      <c r="E136" s="7" t="s">
        <v>566</v>
      </c>
      <c r="F136" s="7" t="s">
        <v>567</v>
      </c>
      <c r="G136" s="7" t="s">
        <v>55</v>
      </c>
      <c r="H136" s="7" t="s">
        <v>27</v>
      </c>
      <c r="I136" s="9"/>
    </row>
    <row r="137" spans="1:9" x14ac:dyDescent="0.25">
      <c r="A137" s="6" t="s">
        <v>568</v>
      </c>
      <c r="B137" s="6" t="s">
        <v>569</v>
      </c>
      <c r="C137" s="6">
        <v>2022</v>
      </c>
      <c r="D137" s="6" t="s">
        <v>570</v>
      </c>
      <c r="E137" s="6" t="s">
        <v>571</v>
      </c>
      <c r="F137" s="6" t="s">
        <v>572</v>
      </c>
      <c r="G137" s="6" t="s">
        <v>100</v>
      </c>
      <c r="H137" s="6" t="s">
        <v>573</v>
      </c>
      <c r="I137" s="11"/>
    </row>
    <row r="138" spans="1:9" ht="15.75" x14ac:dyDescent="0.25">
      <c r="A138" s="7" t="s">
        <v>574</v>
      </c>
      <c r="B138" s="7" t="s">
        <v>575</v>
      </c>
      <c r="C138" s="7">
        <v>2022</v>
      </c>
      <c r="D138" s="7" t="s">
        <v>576</v>
      </c>
      <c r="E138" s="12" t="s">
        <v>577</v>
      </c>
      <c r="F138" s="12" t="s">
        <v>578</v>
      </c>
      <c r="G138" s="7"/>
      <c r="H138" s="7" t="s">
        <v>40</v>
      </c>
      <c r="I138" s="9"/>
    </row>
    <row r="139" spans="1:9" ht="15.75" x14ac:dyDescent="0.25">
      <c r="A139" s="7" t="s">
        <v>579</v>
      </c>
      <c r="B139" s="7" t="s">
        <v>580</v>
      </c>
      <c r="C139" s="7">
        <v>2024</v>
      </c>
      <c r="D139" s="7" t="s">
        <v>581</v>
      </c>
      <c r="E139" s="7" t="s">
        <v>582</v>
      </c>
      <c r="F139" s="7" t="s">
        <v>583</v>
      </c>
      <c r="G139" s="7"/>
      <c r="H139" s="7" t="s">
        <v>55</v>
      </c>
      <c r="I139" s="9" t="s">
        <v>56</v>
      </c>
    </row>
    <row r="140" spans="1:9" ht="15.75" x14ac:dyDescent="0.25">
      <c r="A140" s="7" t="s">
        <v>579</v>
      </c>
      <c r="B140" s="7" t="s">
        <v>580</v>
      </c>
      <c r="C140" s="7">
        <v>2024</v>
      </c>
      <c r="D140" s="7" t="s">
        <v>581</v>
      </c>
      <c r="E140" s="7" t="s">
        <v>582</v>
      </c>
      <c r="F140" s="7" t="s">
        <v>583</v>
      </c>
      <c r="G140" s="7" t="s">
        <v>55</v>
      </c>
      <c r="H140" s="7" t="s">
        <v>27</v>
      </c>
      <c r="I140" s="9"/>
    </row>
    <row r="141" spans="1:9" ht="15.75" x14ac:dyDescent="0.25">
      <c r="A141" s="7" t="s">
        <v>584</v>
      </c>
      <c r="B141" s="7" t="s">
        <v>585</v>
      </c>
      <c r="C141" s="7">
        <v>2024</v>
      </c>
      <c r="D141" s="8" t="s">
        <v>586</v>
      </c>
      <c r="E141" s="7" t="s">
        <v>587</v>
      </c>
      <c r="F141" s="7" t="s">
        <v>588</v>
      </c>
      <c r="G141" s="7" t="s">
        <v>14</v>
      </c>
      <c r="H141" s="7" t="s">
        <v>15</v>
      </c>
      <c r="I141" s="9" t="s">
        <v>56</v>
      </c>
    </row>
    <row r="142" spans="1:9" ht="15.75" x14ac:dyDescent="0.25">
      <c r="A142" s="7" t="s">
        <v>589</v>
      </c>
      <c r="B142" s="7" t="s">
        <v>590</v>
      </c>
      <c r="C142" s="7">
        <v>2022</v>
      </c>
      <c r="D142" s="7" t="s">
        <v>591</v>
      </c>
      <c r="E142" s="7" t="s">
        <v>592</v>
      </c>
      <c r="F142" s="7" t="s">
        <v>593</v>
      </c>
      <c r="G142" s="7" t="s">
        <v>215</v>
      </c>
      <c r="H142" s="7" t="s">
        <v>216</v>
      </c>
      <c r="I142" s="9" t="s">
        <v>56</v>
      </c>
    </row>
    <row r="143" spans="1:9" ht="15.75" x14ac:dyDescent="0.25">
      <c r="A143" s="7" t="s">
        <v>594</v>
      </c>
      <c r="B143" s="7" t="s">
        <v>590</v>
      </c>
      <c r="C143" s="7">
        <v>2022</v>
      </c>
      <c r="D143" s="7" t="s">
        <v>595</v>
      </c>
      <c r="E143" s="7" t="s">
        <v>596</v>
      </c>
      <c r="F143" s="7" t="s">
        <v>597</v>
      </c>
      <c r="G143" s="7" t="s">
        <v>232</v>
      </c>
      <c r="H143" s="7" t="s">
        <v>27</v>
      </c>
      <c r="I143" s="9"/>
    </row>
    <row r="144" spans="1:9" ht="15.75" x14ac:dyDescent="0.25">
      <c r="A144" s="7" t="s">
        <v>598</v>
      </c>
      <c r="B144" s="7" t="s">
        <v>599</v>
      </c>
      <c r="C144" s="7">
        <v>2022</v>
      </c>
      <c r="D144" s="7" t="s">
        <v>600</v>
      </c>
      <c r="E144" s="7" t="s">
        <v>601</v>
      </c>
      <c r="F144" s="7" t="s">
        <v>602</v>
      </c>
      <c r="G144" s="7"/>
      <c r="H144" s="7" t="s">
        <v>55</v>
      </c>
      <c r="I144" s="9" t="s">
        <v>56</v>
      </c>
    </row>
    <row r="145" spans="1:9" ht="15.75" x14ac:dyDescent="0.25">
      <c r="A145" s="7" t="s">
        <v>598</v>
      </c>
      <c r="B145" s="7" t="s">
        <v>599</v>
      </c>
      <c r="C145" s="7">
        <v>2022</v>
      </c>
      <c r="D145" s="7" t="s">
        <v>600</v>
      </c>
      <c r="E145" s="7" t="s">
        <v>601</v>
      </c>
      <c r="F145" s="7" t="s">
        <v>602</v>
      </c>
      <c r="G145" s="7" t="s">
        <v>55</v>
      </c>
      <c r="H145" s="7" t="s">
        <v>27</v>
      </c>
      <c r="I145" s="9"/>
    </row>
    <row r="146" spans="1:9" ht="15.75" x14ac:dyDescent="0.25">
      <c r="A146" s="7" t="s">
        <v>603</v>
      </c>
      <c r="B146" s="7" t="s">
        <v>604</v>
      </c>
      <c r="C146" s="7">
        <v>2021</v>
      </c>
      <c r="D146" s="7" t="s">
        <v>605</v>
      </c>
      <c r="E146" s="7" t="s">
        <v>606</v>
      </c>
      <c r="F146" s="7" t="s">
        <v>607</v>
      </c>
      <c r="G146" s="7" t="s">
        <v>215</v>
      </c>
      <c r="H146" s="7" t="s">
        <v>216</v>
      </c>
      <c r="I146" s="9"/>
    </row>
    <row r="147" spans="1:9" ht="15.75" x14ac:dyDescent="0.25">
      <c r="A147" s="7" t="s">
        <v>608</v>
      </c>
      <c r="B147" s="7" t="s">
        <v>609</v>
      </c>
      <c r="C147" s="7">
        <v>2022</v>
      </c>
      <c r="D147" s="7" t="s">
        <v>610</v>
      </c>
      <c r="E147" s="7" t="s">
        <v>611</v>
      </c>
      <c r="F147" s="7" t="s">
        <v>612</v>
      </c>
      <c r="G147" s="7" t="s">
        <v>130</v>
      </c>
      <c r="H147" s="7" t="s">
        <v>27</v>
      </c>
      <c r="I147" s="9"/>
    </row>
    <row r="148" spans="1:9" ht="15.75" x14ac:dyDescent="0.25">
      <c r="A148" s="7" t="s">
        <v>613</v>
      </c>
      <c r="B148" s="7" t="s">
        <v>614</v>
      </c>
      <c r="C148" s="7">
        <v>2020</v>
      </c>
      <c r="D148" s="7" t="s">
        <v>615</v>
      </c>
      <c r="E148" s="7" t="s">
        <v>616</v>
      </c>
      <c r="F148" s="7" t="s">
        <v>617</v>
      </c>
      <c r="G148" s="7" t="s">
        <v>55</v>
      </c>
      <c r="H148" s="7" t="s">
        <v>27</v>
      </c>
      <c r="I148" s="9"/>
    </row>
    <row r="149" spans="1:9" ht="15.75" x14ac:dyDescent="0.25">
      <c r="A149" s="7" t="s">
        <v>613</v>
      </c>
      <c r="B149" s="7" t="s">
        <v>614</v>
      </c>
      <c r="C149" s="7">
        <v>2020</v>
      </c>
      <c r="D149" s="7" t="s">
        <v>615</v>
      </c>
      <c r="E149" s="7" t="s">
        <v>616</v>
      </c>
      <c r="F149" s="7" t="s">
        <v>617</v>
      </c>
      <c r="G149" s="7"/>
      <c r="H149" s="7" t="s">
        <v>55</v>
      </c>
      <c r="I149" s="9"/>
    </row>
    <row r="150" spans="1:9" x14ac:dyDescent="0.25">
      <c r="A150" s="6" t="s">
        <v>618</v>
      </c>
      <c r="B150" s="6" t="s">
        <v>619</v>
      </c>
      <c r="C150" s="6">
        <v>2023</v>
      </c>
      <c r="D150" s="10" t="s">
        <v>620</v>
      </c>
      <c r="E150" s="6" t="s">
        <v>621</v>
      </c>
      <c r="F150" s="6" t="s">
        <v>622</v>
      </c>
      <c r="G150" s="6" t="s">
        <v>266</v>
      </c>
      <c r="H150" s="6" t="s">
        <v>623</v>
      </c>
      <c r="I150" s="11"/>
    </row>
    <row r="151" spans="1:9" ht="15.75" x14ac:dyDescent="0.25">
      <c r="A151" s="7" t="s">
        <v>624</v>
      </c>
      <c r="B151" s="7" t="s">
        <v>625</v>
      </c>
      <c r="C151" s="7">
        <v>2022</v>
      </c>
      <c r="D151" s="7" t="s">
        <v>626</v>
      </c>
      <c r="E151" s="7" t="s">
        <v>627</v>
      </c>
      <c r="F151" s="7" t="s">
        <v>628</v>
      </c>
      <c r="G151" s="7"/>
      <c r="H151" s="7" t="s">
        <v>318</v>
      </c>
      <c r="I151" s="9" t="s">
        <v>56</v>
      </c>
    </row>
    <row r="152" spans="1:9" ht="15.75" x14ac:dyDescent="0.25">
      <c r="A152" s="2" t="s">
        <v>629</v>
      </c>
      <c r="B152" s="2" t="s">
        <v>625</v>
      </c>
      <c r="C152" s="2">
        <v>2022</v>
      </c>
      <c r="D152" s="2" t="str">
        <f>HYPERLINK("http://dx.doi.org/10.3390/su14042152","http://dx.doi.org/10.3390/su14042152")</f>
        <v>http://dx.doi.org/10.3390/su14042152</v>
      </c>
      <c r="E152" s="2" t="s">
        <v>630</v>
      </c>
      <c r="F152" s="2" t="s">
        <v>631</v>
      </c>
      <c r="G152" s="2" t="s">
        <v>55</v>
      </c>
      <c r="H152" s="2" t="str">
        <f>HYPERLINK("https%3A%2F%2Fwww.webofscience.com%2Fwos%2Fwoscc%2Ffull-record%2F","View Full Record in Web of Science")</f>
        <v>View Full Record in Web of Science</v>
      </c>
      <c r="I152" s="9" t="s">
        <v>56</v>
      </c>
    </row>
    <row r="153" spans="1:9" ht="15.75" x14ac:dyDescent="0.25">
      <c r="A153" s="7" t="s">
        <v>624</v>
      </c>
      <c r="B153" s="7" t="s">
        <v>625</v>
      </c>
      <c r="C153" s="7">
        <v>2022</v>
      </c>
      <c r="D153" s="7" t="s">
        <v>626</v>
      </c>
      <c r="E153" s="7" t="s">
        <v>627</v>
      </c>
      <c r="F153" s="7" t="s">
        <v>628</v>
      </c>
      <c r="G153" s="7" t="s">
        <v>318</v>
      </c>
      <c r="H153" s="7" t="s">
        <v>27</v>
      </c>
      <c r="I153" s="9"/>
    </row>
    <row r="154" spans="1:9" ht="15.75" x14ac:dyDescent="0.25">
      <c r="A154" s="7" t="s">
        <v>632</v>
      </c>
      <c r="B154" s="7" t="s">
        <v>633</v>
      </c>
      <c r="C154" s="7">
        <v>2022</v>
      </c>
      <c r="D154" s="7" t="s">
        <v>634</v>
      </c>
      <c r="E154" s="7" t="s">
        <v>635</v>
      </c>
      <c r="F154" s="7" t="s">
        <v>636</v>
      </c>
      <c r="G154" s="7" t="s">
        <v>14</v>
      </c>
      <c r="H154" s="7" t="s">
        <v>15</v>
      </c>
      <c r="I154" s="9" t="s">
        <v>56</v>
      </c>
    </row>
    <row r="155" spans="1:9" x14ac:dyDescent="0.25">
      <c r="A155" s="6" t="s">
        <v>637</v>
      </c>
      <c r="B155" s="6" t="s">
        <v>638</v>
      </c>
      <c r="C155" s="6">
        <v>2024</v>
      </c>
      <c r="D155" s="10" t="s">
        <v>639</v>
      </c>
      <c r="E155" s="6" t="s">
        <v>640</v>
      </c>
      <c r="F155" s="6" t="s">
        <v>641</v>
      </c>
      <c r="G155" s="6" t="s">
        <v>77</v>
      </c>
      <c r="H155" s="6" t="s">
        <v>642</v>
      </c>
      <c r="I155" s="11"/>
    </row>
    <row r="156" spans="1:9" ht="15.75" x14ac:dyDescent="0.25">
      <c r="A156" s="7" t="s">
        <v>643</v>
      </c>
      <c r="B156" s="7" t="s">
        <v>644</v>
      </c>
      <c r="C156" s="7">
        <v>2024</v>
      </c>
      <c r="D156" s="7" t="s">
        <v>645</v>
      </c>
      <c r="E156" s="7" t="s">
        <v>646</v>
      </c>
      <c r="F156" s="7" t="s">
        <v>647</v>
      </c>
      <c r="G156" s="7" t="s">
        <v>215</v>
      </c>
      <c r="H156" s="7" t="s">
        <v>216</v>
      </c>
      <c r="I156" s="9" t="s">
        <v>56</v>
      </c>
    </row>
    <row r="157" spans="1:9" ht="15.75" x14ac:dyDescent="0.25">
      <c r="A157" s="7" t="s">
        <v>648</v>
      </c>
      <c r="B157" s="7" t="s">
        <v>644</v>
      </c>
      <c r="C157" s="7">
        <v>2024</v>
      </c>
      <c r="D157" s="7" t="s">
        <v>649</v>
      </c>
      <c r="E157" s="7" t="s">
        <v>650</v>
      </c>
      <c r="F157" s="7" t="s">
        <v>651</v>
      </c>
      <c r="G157" s="7" t="s">
        <v>232</v>
      </c>
      <c r="H157" s="7" t="s">
        <v>27</v>
      </c>
      <c r="I157" s="9"/>
    </row>
    <row r="158" spans="1:9" ht="15.75" x14ac:dyDescent="0.25">
      <c r="A158" s="7" t="s">
        <v>652</v>
      </c>
      <c r="B158" s="7" t="s">
        <v>653</v>
      </c>
      <c r="C158" s="7">
        <v>2022</v>
      </c>
      <c r="D158" s="7" t="s">
        <v>654</v>
      </c>
      <c r="E158" s="7" t="s">
        <v>655</v>
      </c>
      <c r="F158" s="7"/>
      <c r="G158" s="7" t="s">
        <v>130</v>
      </c>
      <c r="H158" s="7" t="s">
        <v>27</v>
      </c>
      <c r="I158" s="9" t="s">
        <v>56</v>
      </c>
    </row>
    <row r="159" spans="1:9" ht="15.75" x14ac:dyDescent="0.25">
      <c r="A159" s="7" t="s">
        <v>656</v>
      </c>
      <c r="B159" s="7" t="s">
        <v>657</v>
      </c>
      <c r="C159" s="7">
        <v>2018</v>
      </c>
      <c r="D159" s="8" t="s">
        <v>658</v>
      </c>
      <c r="E159" s="7" t="s">
        <v>659</v>
      </c>
      <c r="F159" s="7" t="s">
        <v>660</v>
      </c>
      <c r="G159" s="7" t="s">
        <v>14</v>
      </c>
      <c r="H159" s="7" t="s">
        <v>15</v>
      </c>
      <c r="I159" s="9"/>
    </row>
    <row r="160" spans="1:9" ht="15.75" x14ac:dyDescent="0.25">
      <c r="A160" s="7" t="s">
        <v>661</v>
      </c>
      <c r="B160" s="7" t="s">
        <v>662</v>
      </c>
      <c r="C160" s="7">
        <v>2024</v>
      </c>
      <c r="D160" s="7" t="s">
        <v>663</v>
      </c>
      <c r="E160" s="7" t="s">
        <v>664</v>
      </c>
      <c r="F160" s="7" t="s">
        <v>665</v>
      </c>
      <c r="G160" s="7"/>
      <c r="H160" s="7" t="s">
        <v>40</v>
      </c>
      <c r="I160" s="9"/>
    </row>
    <row r="161" spans="1:9" ht="15.75" x14ac:dyDescent="0.25">
      <c r="A161" s="7" t="s">
        <v>666</v>
      </c>
      <c r="B161" s="7" t="s">
        <v>667</v>
      </c>
      <c r="C161" s="7">
        <v>2022</v>
      </c>
      <c r="D161" s="8" t="s">
        <v>668</v>
      </c>
      <c r="E161" s="7" t="s">
        <v>669</v>
      </c>
      <c r="F161" s="7" t="s">
        <v>670</v>
      </c>
      <c r="G161" s="7" t="s">
        <v>14</v>
      </c>
      <c r="H161" s="7" t="s">
        <v>15</v>
      </c>
      <c r="I161" s="9"/>
    </row>
    <row r="162" spans="1:9" ht="15.75" x14ac:dyDescent="0.25">
      <c r="A162" s="7" t="s">
        <v>671</v>
      </c>
      <c r="B162" s="7" t="s">
        <v>672</v>
      </c>
      <c r="C162" s="7">
        <v>2025</v>
      </c>
      <c r="D162" s="7" t="s">
        <v>673</v>
      </c>
      <c r="E162" s="12" t="s">
        <v>674</v>
      </c>
      <c r="F162" s="7" t="s">
        <v>675</v>
      </c>
      <c r="G162" s="7"/>
      <c r="H162" s="7" t="s">
        <v>40</v>
      </c>
      <c r="I162" s="9" t="s">
        <v>56</v>
      </c>
    </row>
    <row r="163" spans="1:9" ht="15.75" x14ac:dyDescent="0.25">
      <c r="A163" s="7" t="s">
        <v>676</v>
      </c>
      <c r="B163" s="7" t="s">
        <v>672</v>
      </c>
      <c r="C163" s="7">
        <v>2025</v>
      </c>
      <c r="D163" s="7" t="s">
        <v>677</v>
      </c>
      <c r="E163" s="7" t="s">
        <v>678</v>
      </c>
      <c r="F163" s="7" t="s">
        <v>679</v>
      </c>
      <c r="G163" s="7" t="s">
        <v>55</v>
      </c>
      <c r="H163" s="7" t="s">
        <v>27</v>
      </c>
      <c r="I163" s="9"/>
    </row>
    <row r="164" spans="1:9" ht="15.75" x14ac:dyDescent="0.25">
      <c r="A164" s="7" t="s">
        <v>680</v>
      </c>
      <c r="B164" s="7" t="s">
        <v>681</v>
      </c>
      <c r="C164" s="7">
        <v>2024</v>
      </c>
      <c r="D164" s="7" t="s">
        <v>682</v>
      </c>
      <c r="E164" s="7" t="s">
        <v>683</v>
      </c>
      <c r="F164" s="7"/>
      <c r="G164" s="7" t="s">
        <v>232</v>
      </c>
      <c r="H164" s="7" t="s">
        <v>27</v>
      </c>
      <c r="I164" s="9"/>
    </row>
    <row r="165" spans="1:9" x14ac:dyDescent="0.25">
      <c r="A165" s="6" t="s">
        <v>684</v>
      </c>
      <c r="B165" s="6" t="s">
        <v>685</v>
      </c>
      <c r="C165" s="6">
        <v>2024</v>
      </c>
      <c r="D165" s="6" t="s">
        <v>686</v>
      </c>
      <c r="E165" s="6" t="s">
        <v>687</v>
      </c>
      <c r="F165" s="6" t="s">
        <v>688</v>
      </c>
      <c r="G165" s="6" t="s">
        <v>77</v>
      </c>
      <c r="H165" s="6" t="s">
        <v>689</v>
      </c>
      <c r="I165" s="11"/>
    </row>
    <row r="166" spans="1:9" ht="15.75" x14ac:dyDescent="0.25">
      <c r="A166" s="7" t="s">
        <v>690</v>
      </c>
      <c r="B166" s="7" t="s">
        <v>691</v>
      </c>
      <c r="C166" s="7">
        <v>2020</v>
      </c>
      <c r="D166" s="7" t="s">
        <v>692</v>
      </c>
      <c r="E166" s="7" t="s">
        <v>693</v>
      </c>
      <c r="F166" s="7" t="s">
        <v>694</v>
      </c>
      <c r="G166" s="7"/>
      <c r="H166" s="7" t="s">
        <v>55</v>
      </c>
      <c r="I166" s="9"/>
    </row>
    <row r="167" spans="1:9" ht="15.75" x14ac:dyDescent="0.25">
      <c r="A167" s="7" t="s">
        <v>695</v>
      </c>
      <c r="B167" s="7" t="s">
        <v>696</v>
      </c>
      <c r="C167" s="7">
        <v>2023</v>
      </c>
      <c r="D167" s="7" t="s">
        <v>697</v>
      </c>
      <c r="E167" s="7" t="s">
        <v>698</v>
      </c>
      <c r="F167" s="7"/>
      <c r="G167" s="7" t="s">
        <v>130</v>
      </c>
      <c r="H167" s="7" t="s">
        <v>27</v>
      </c>
      <c r="I167" s="9"/>
    </row>
    <row r="168" spans="1:9" ht="15.75" x14ac:dyDescent="0.25">
      <c r="A168" s="7" t="s">
        <v>699</v>
      </c>
      <c r="B168" s="7" t="s">
        <v>700</v>
      </c>
      <c r="C168" s="7">
        <v>2025</v>
      </c>
      <c r="D168" s="7" t="s">
        <v>701</v>
      </c>
      <c r="E168" s="7" t="s">
        <v>702</v>
      </c>
      <c r="F168" s="7" t="s">
        <v>703</v>
      </c>
      <c r="G168" s="7" t="s">
        <v>55</v>
      </c>
      <c r="H168" s="7" t="s">
        <v>27</v>
      </c>
      <c r="I168" s="9" t="s">
        <v>56</v>
      </c>
    </row>
    <row r="169" spans="1:9" ht="15.75" x14ac:dyDescent="0.25">
      <c r="A169" s="7" t="s">
        <v>699</v>
      </c>
      <c r="B169" s="7" t="s">
        <v>700</v>
      </c>
      <c r="C169" s="7">
        <v>2025</v>
      </c>
      <c r="D169" s="7" t="s">
        <v>701</v>
      </c>
      <c r="E169" s="7" t="s">
        <v>702</v>
      </c>
      <c r="F169" s="7" t="s">
        <v>703</v>
      </c>
      <c r="G169" s="7"/>
      <c r="H169" s="7" t="s">
        <v>55</v>
      </c>
      <c r="I169" s="9" t="s">
        <v>56</v>
      </c>
    </row>
    <row r="170" spans="1:9" ht="15.75" x14ac:dyDescent="0.25">
      <c r="A170" s="2" t="s">
        <v>704</v>
      </c>
      <c r="B170" s="2" t="s">
        <v>700</v>
      </c>
      <c r="C170" s="2">
        <v>2025</v>
      </c>
      <c r="D170" s="2" t="str">
        <f>HYPERLINK("http://dx.doi.org/10.3390/systems13010021","http://dx.doi.org/10.3390/systems13010021")</f>
        <v>http://dx.doi.org/10.3390/systems13010021</v>
      </c>
      <c r="E170" s="2" t="s">
        <v>705</v>
      </c>
      <c r="F170" s="2" t="s">
        <v>706</v>
      </c>
      <c r="G170" s="2" t="s">
        <v>55</v>
      </c>
      <c r="H170" s="2" t="str">
        <f>HYPERLINK("https%3A%2F%2Fwww.webofscience.com%2Fwos%2Fwoscc%2Ffull-record%2F","View Full Record in Web of Science")</f>
        <v>View Full Record in Web of Science</v>
      </c>
      <c r="I170" s="9"/>
    </row>
    <row r="171" spans="1:9" ht="15.75" x14ac:dyDescent="0.25">
      <c r="A171" s="7" t="s">
        <v>707</v>
      </c>
      <c r="B171" s="7" t="s">
        <v>708</v>
      </c>
      <c r="C171" s="7">
        <v>2023</v>
      </c>
      <c r="D171" s="7" t="s">
        <v>709</v>
      </c>
      <c r="E171" s="7" t="s">
        <v>710</v>
      </c>
      <c r="F171" s="7" t="s">
        <v>711</v>
      </c>
      <c r="G171" s="7" t="s">
        <v>287</v>
      </c>
      <c r="H171" s="7" t="s">
        <v>40</v>
      </c>
      <c r="I171" s="9"/>
    </row>
    <row r="172" spans="1:9" ht="15.75" x14ac:dyDescent="0.25">
      <c r="A172" s="7" t="s">
        <v>712</v>
      </c>
      <c r="B172" s="7" t="s">
        <v>713</v>
      </c>
      <c r="C172" s="7">
        <v>2023</v>
      </c>
      <c r="D172" s="7" t="s">
        <v>714</v>
      </c>
      <c r="E172" s="7" t="s">
        <v>715</v>
      </c>
      <c r="F172" s="7" t="s">
        <v>716</v>
      </c>
      <c r="G172" s="7"/>
      <c r="H172" s="7" t="s">
        <v>40</v>
      </c>
      <c r="I172" s="9"/>
    </row>
    <row r="173" spans="1:9" ht="15.75" x14ac:dyDescent="0.25">
      <c r="A173" s="7" t="s">
        <v>717</v>
      </c>
      <c r="B173" s="7" t="s">
        <v>718</v>
      </c>
      <c r="C173" s="7">
        <v>2023</v>
      </c>
      <c r="D173" s="7" t="s">
        <v>719</v>
      </c>
      <c r="E173" s="7" t="s">
        <v>720</v>
      </c>
      <c r="F173" s="7"/>
      <c r="G173" s="7" t="s">
        <v>130</v>
      </c>
      <c r="H173" s="7" t="s">
        <v>27</v>
      </c>
      <c r="I173" s="9"/>
    </row>
    <row r="174" spans="1:9" ht="15.75" x14ac:dyDescent="0.25">
      <c r="A174" s="12" t="s">
        <v>721</v>
      </c>
      <c r="B174" s="7" t="s">
        <v>722</v>
      </c>
      <c r="C174" s="7">
        <v>2024</v>
      </c>
      <c r="D174" s="7" t="s">
        <v>723</v>
      </c>
      <c r="E174" s="12" t="s">
        <v>724</v>
      </c>
      <c r="F174" s="7" t="s">
        <v>725</v>
      </c>
      <c r="G174" s="7"/>
      <c r="H174" s="7" t="s">
        <v>40</v>
      </c>
      <c r="I174" s="9"/>
    </row>
    <row r="175" spans="1:9" ht="15.75" x14ac:dyDescent="0.25">
      <c r="A175" s="7" t="s">
        <v>726</v>
      </c>
      <c r="B175" s="7" t="s">
        <v>727</v>
      </c>
      <c r="C175" s="7">
        <v>2024</v>
      </c>
      <c r="D175" s="7" t="s">
        <v>728</v>
      </c>
      <c r="E175" s="7" t="s">
        <v>729</v>
      </c>
      <c r="F175" s="12" t="s">
        <v>730</v>
      </c>
      <c r="G175" s="7"/>
      <c r="H175" s="7" t="s">
        <v>40</v>
      </c>
      <c r="I175" s="9"/>
    </row>
    <row r="176" spans="1:9" x14ac:dyDescent="0.25">
      <c r="A176" s="6" t="s">
        <v>731</v>
      </c>
      <c r="B176" s="6" t="s">
        <v>732</v>
      </c>
      <c r="C176" s="6">
        <v>2024</v>
      </c>
      <c r="D176" s="6" t="s">
        <v>733</v>
      </c>
      <c r="E176" s="6" t="s">
        <v>734</v>
      </c>
      <c r="G176" s="6" t="s">
        <v>735</v>
      </c>
      <c r="H176" s="6" t="s">
        <v>736</v>
      </c>
      <c r="I176" s="11"/>
    </row>
    <row r="177" spans="1:9" ht="15.75" x14ac:dyDescent="0.25">
      <c r="A177" s="7" t="s">
        <v>737</v>
      </c>
      <c r="B177" s="7" t="s">
        <v>738</v>
      </c>
      <c r="C177" s="7">
        <v>2022</v>
      </c>
      <c r="D177" s="7" t="s">
        <v>739</v>
      </c>
      <c r="E177" s="7"/>
      <c r="F177" s="7"/>
      <c r="G177" s="7"/>
      <c r="H177" s="7" t="s">
        <v>40</v>
      </c>
      <c r="I177" s="9"/>
    </row>
    <row r="178" spans="1:9" ht="15.75" x14ac:dyDescent="0.25">
      <c r="A178" s="7" t="s">
        <v>740</v>
      </c>
      <c r="B178" s="7" t="s">
        <v>741</v>
      </c>
      <c r="C178" s="7">
        <v>2023</v>
      </c>
      <c r="D178" s="8" t="s">
        <v>742</v>
      </c>
      <c r="E178" s="7" t="s">
        <v>743</v>
      </c>
      <c r="F178" s="7"/>
      <c r="G178" s="7" t="s">
        <v>266</v>
      </c>
      <c r="H178" s="7" t="s">
        <v>15</v>
      </c>
      <c r="I178" s="9"/>
    </row>
    <row r="179" spans="1:9" ht="15.75" x14ac:dyDescent="0.25">
      <c r="A179" s="7" t="s">
        <v>744</v>
      </c>
      <c r="B179" s="7" t="s">
        <v>745</v>
      </c>
      <c r="C179" s="7">
        <v>2024</v>
      </c>
      <c r="D179" s="7" t="s">
        <v>746</v>
      </c>
      <c r="E179" s="7" t="s">
        <v>747</v>
      </c>
      <c r="F179" s="7" t="s">
        <v>748</v>
      </c>
      <c r="G179" s="7"/>
      <c r="H179" s="7" t="s">
        <v>40</v>
      </c>
      <c r="I179" s="9"/>
    </row>
    <row r="180" spans="1:9" ht="15.75" x14ac:dyDescent="0.25">
      <c r="A180" s="7" t="s">
        <v>749</v>
      </c>
      <c r="B180" s="7" t="s">
        <v>750</v>
      </c>
      <c r="C180" s="7">
        <v>2021</v>
      </c>
      <c r="D180" s="7" t="s">
        <v>751</v>
      </c>
      <c r="E180" s="7" t="s">
        <v>752</v>
      </c>
      <c r="F180" s="7" t="s">
        <v>753</v>
      </c>
      <c r="G180" s="7" t="s">
        <v>55</v>
      </c>
      <c r="H180" s="7" t="s">
        <v>27</v>
      </c>
      <c r="I180" s="9" t="s">
        <v>56</v>
      </c>
    </row>
    <row r="181" spans="1:9" ht="15.75" x14ac:dyDescent="0.25">
      <c r="A181" s="2" t="s">
        <v>754</v>
      </c>
      <c r="B181" s="2" t="s">
        <v>750</v>
      </c>
      <c r="C181" s="2">
        <v>2021</v>
      </c>
      <c r="D181" s="2" t="str">
        <f>HYPERLINK("http://dx.doi.org/10.3389/fbloc.2021.612898","http://dx.doi.org/10.3389/fbloc.2021.612898")</f>
        <v>http://dx.doi.org/10.3389/fbloc.2021.612898</v>
      </c>
      <c r="E181" s="2" t="s">
        <v>755</v>
      </c>
      <c r="F181" s="2" t="s">
        <v>756</v>
      </c>
      <c r="G181" s="2" t="s">
        <v>55</v>
      </c>
      <c r="H181" s="2" t="str">
        <f>HYPERLINK("https%3A%2F%2Fwww.webofscience.com%2Fwos%2Fwoscc%2Ffull-record%2F","View Full Record in Web of Science")</f>
        <v>View Full Record in Web of Science</v>
      </c>
      <c r="I181" s="9"/>
    </row>
    <row r="182" spans="1:9" ht="15.75" x14ac:dyDescent="0.25">
      <c r="A182" s="7" t="s">
        <v>757</v>
      </c>
      <c r="B182" s="7" t="s">
        <v>758</v>
      </c>
      <c r="C182" s="7">
        <v>2020</v>
      </c>
      <c r="D182" s="7" t="s">
        <v>759</v>
      </c>
      <c r="E182" s="7" t="s">
        <v>760</v>
      </c>
      <c r="F182" s="7" t="s">
        <v>761</v>
      </c>
      <c r="G182" s="7" t="s">
        <v>266</v>
      </c>
      <c r="H182" s="7" t="s">
        <v>15</v>
      </c>
      <c r="I182" s="9" t="s">
        <v>56</v>
      </c>
    </row>
    <row r="183" spans="1:9" ht="15.75" x14ac:dyDescent="0.25">
      <c r="A183" s="7" t="s">
        <v>762</v>
      </c>
      <c r="B183" s="7" t="s">
        <v>758</v>
      </c>
      <c r="C183" s="7">
        <v>2020</v>
      </c>
      <c r="D183" s="7" t="s">
        <v>763</v>
      </c>
      <c r="E183" s="7" t="s">
        <v>764</v>
      </c>
      <c r="F183" s="7" t="s">
        <v>765</v>
      </c>
      <c r="G183" s="7" t="s">
        <v>232</v>
      </c>
      <c r="H183" s="7" t="s">
        <v>27</v>
      </c>
      <c r="I183" s="9" t="s">
        <v>56</v>
      </c>
    </row>
    <row r="184" spans="1:9" ht="15.75" x14ac:dyDescent="0.25">
      <c r="A184" s="7" t="s">
        <v>766</v>
      </c>
      <c r="B184" s="7" t="s">
        <v>758</v>
      </c>
      <c r="C184" s="7">
        <v>2020</v>
      </c>
      <c r="D184" s="7" t="s">
        <v>767</v>
      </c>
      <c r="E184" s="7" t="s">
        <v>760</v>
      </c>
      <c r="F184" s="7" t="s">
        <v>768</v>
      </c>
      <c r="G184" s="7" t="s">
        <v>215</v>
      </c>
      <c r="H184" s="7" t="s">
        <v>216</v>
      </c>
      <c r="I184" s="9"/>
    </row>
    <row r="185" spans="1:9" ht="15.75" x14ac:dyDescent="0.25">
      <c r="A185" s="7" t="s">
        <v>769</v>
      </c>
      <c r="B185" s="7" t="s">
        <v>770</v>
      </c>
      <c r="C185" s="7">
        <v>2022</v>
      </c>
      <c r="D185" s="7" t="s">
        <v>771</v>
      </c>
      <c r="E185" s="7" t="s">
        <v>772</v>
      </c>
      <c r="F185" s="7" t="s">
        <v>773</v>
      </c>
      <c r="G185" s="7"/>
      <c r="H185" s="7" t="s">
        <v>40</v>
      </c>
      <c r="I185" s="9"/>
    </row>
    <row r="186" spans="1:9" ht="15.75" x14ac:dyDescent="0.25">
      <c r="A186" s="7" t="s">
        <v>774</v>
      </c>
      <c r="B186" s="7" t="s">
        <v>775</v>
      </c>
      <c r="C186" s="7">
        <v>2025</v>
      </c>
      <c r="D186" s="7" t="s">
        <v>776</v>
      </c>
      <c r="E186" s="7" t="s">
        <v>777</v>
      </c>
      <c r="F186" s="7" t="s">
        <v>778</v>
      </c>
      <c r="G186" s="7"/>
      <c r="H186" s="7" t="s">
        <v>130</v>
      </c>
      <c r="I186" s="9" t="s">
        <v>56</v>
      </c>
    </row>
    <row r="187" spans="1:9" ht="15.75" x14ac:dyDescent="0.25">
      <c r="A187" s="7" t="s">
        <v>779</v>
      </c>
      <c r="B187" s="7" t="s">
        <v>775</v>
      </c>
      <c r="C187" s="7">
        <v>2025</v>
      </c>
      <c r="D187" s="7" t="s">
        <v>780</v>
      </c>
      <c r="E187" s="7" t="s">
        <v>781</v>
      </c>
      <c r="F187" s="7" t="s">
        <v>782</v>
      </c>
      <c r="G187" s="7" t="s">
        <v>287</v>
      </c>
      <c r="H187" s="7" t="s">
        <v>40</v>
      </c>
      <c r="I187" s="9"/>
    </row>
    <row r="188" spans="1:9" x14ac:dyDescent="0.25">
      <c r="A188" s="6" t="s">
        <v>783</v>
      </c>
      <c r="B188" s="6" t="s">
        <v>784</v>
      </c>
      <c r="C188" s="6">
        <v>2025</v>
      </c>
      <c r="D188" s="10" t="s">
        <v>785</v>
      </c>
      <c r="E188" s="6" t="s">
        <v>786</v>
      </c>
      <c r="F188" s="6" t="s">
        <v>787</v>
      </c>
      <c r="G188" s="6" t="s">
        <v>77</v>
      </c>
      <c r="H188" s="6" t="s">
        <v>788</v>
      </c>
      <c r="I188" s="11"/>
    </row>
    <row r="189" spans="1:9" ht="15.75" x14ac:dyDescent="0.25">
      <c r="A189" s="7" t="s">
        <v>789</v>
      </c>
      <c r="B189" s="7" t="s">
        <v>790</v>
      </c>
      <c r="C189" s="7">
        <v>2021</v>
      </c>
      <c r="D189" s="7" t="s">
        <v>791</v>
      </c>
      <c r="E189" s="7" t="s">
        <v>792</v>
      </c>
      <c r="F189" s="7" t="s">
        <v>793</v>
      </c>
      <c r="G189" s="7"/>
      <c r="H189" s="7" t="s">
        <v>40</v>
      </c>
      <c r="I189" s="9" t="s">
        <v>56</v>
      </c>
    </row>
    <row r="190" spans="1:9" ht="15.75" x14ac:dyDescent="0.25">
      <c r="A190" s="7" t="s">
        <v>794</v>
      </c>
      <c r="B190" s="7" t="s">
        <v>790</v>
      </c>
      <c r="C190" s="7">
        <v>2021</v>
      </c>
      <c r="D190" s="7" t="s">
        <v>791</v>
      </c>
      <c r="E190" s="7" t="s">
        <v>792</v>
      </c>
      <c r="F190" s="7" t="s">
        <v>795</v>
      </c>
      <c r="G190" s="7" t="s">
        <v>14</v>
      </c>
      <c r="H190" s="7" t="s">
        <v>15</v>
      </c>
      <c r="I190" s="9"/>
    </row>
    <row r="191" spans="1:9" ht="15.75" x14ac:dyDescent="0.25">
      <c r="A191" s="7" t="s">
        <v>796</v>
      </c>
      <c r="B191" s="7" t="s">
        <v>797</v>
      </c>
      <c r="C191" s="7">
        <v>2025</v>
      </c>
      <c r="D191" s="7" t="s">
        <v>798</v>
      </c>
      <c r="E191" s="7" t="s">
        <v>799</v>
      </c>
      <c r="F191" s="7" t="s">
        <v>800</v>
      </c>
      <c r="G191" s="7" t="s">
        <v>318</v>
      </c>
      <c r="H191" s="7" t="s">
        <v>27</v>
      </c>
      <c r="I191" s="9" t="s">
        <v>56</v>
      </c>
    </row>
    <row r="192" spans="1:9" ht="15.75" x14ac:dyDescent="0.25">
      <c r="A192" s="2" t="s">
        <v>801</v>
      </c>
      <c r="B192" s="2" t="s">
        <v>797</v>
      </c>
      <c r="C192" s="2">
        <v>2025</v>
      </c>
      <c r="D192" s="2" t="str">
        <f>HYPERLINK("http://dx.doi.org/10.3390/foods14071135","http://dx.doi.org/10.3390/foods14071135")</f>
        <v>http://dx.doi.org/10.3390/foods14071135</v>
      </c>
      <c r="E192" s="2" t="s">
        <v>802</v>
      </c>
      <c r="F192" s="2" t="s">
        <v>803</v>
      </c>
      <c r="G192" s="2" t="s">
        <v>318</v>
      </c>
      <c r="H192" s="2" t="str">
        <f>HYPERLINK("https%3A%2F%2Fwww.webofscience.com%2Fwos%2Fwoscc%2Ffull-record%2F","View Full Record in Web of Science")</f>
        <v>View Full Record in Web of Science</v>
      </c>
      <c r="I192" s="9"/>
    </row>
    <row r="193" spans="1:9" ht="15.75" x14ac:dyDescent="0.25">
      <c r="A193" s="7" t="s">
        <v>804</v>
      </c>
      <c r="B193" s="7" t="s">
        <v>805</v>
      </c>
      <c r="C193" s="7">
        <v>2024</v>
      </c>
      <c r="D193" s="8" t="s">
        <v>806</v>
      </c>
      <c r="E193" s="7" t="s">
        <v>807</v>
      </c>
      <c r="F193" s="7" t="s">
        <v>808</v>
      </c>
      <c r="G193" s="7" t="s">
        <v>14</v>
      </c>
      <c r="H193" s="7" t="s">
        <v>15</v>
      </c>
      <c r="I193" s="9" t="s">
        <v>56</v>
      </c>
    </row>
    <row r="194" spans="1:9" ht="15.75" x14ac:dyDescent="0.25">
      <c r="A194" s="7" t="s">
        <v>809</v>
      </c>
      <c r="B194" s="7" t="s">
        <v>805</v>
      </c>
      <c r="C194" s="7">
        <v>2024</v>
      </c>
      <c r="D194" s="7" t="s">
        <v>810</v>
      </c>
      <c r="E194" s="7" t="s">
        <v>811</v>
      </c>
      <c r="F194" s="7" t="s">
        <v>812</v>
      </c>
      <c r="G194" s="7" t="s">
        <v>55</v>
      </c>
      <c r="H194" s="7" t="s">
        <v>27</v>
      </c>
      <c r="I194" s="9" t="s">
        <v>56</v>
      </c>
    </row>
    <row r="195" spans="1:9" ht="15.75" x14ac:dyDescent="0.25">
      <c r="A195" s="7" t="s">
        <v>809</v>
      </c>
      <c r="B195" s="7" t="s">
        <v>805</v>
      </c>
      <c r="C195" s="7">
        <v>2024</v>
      </c>
      <c r="D195" s="7" t="s">
        <v>810</v>
      </c>
      <c r="E195" s="7" t="s">
        <v>811</v>
      </c>
      <c r="F195" s="7" t="s">
        <v>812</v>
      </c>
      <c r="G195" s="7"/>
      <c r="H195" s="7" t="s">
        <v>55</v>
      </c>
      <c r="I195" s="9" t="s">
        <v>56</v>
      </c>
    </row>
    <row r="196" spans="1:9" ht="15.75" x14ac:dyDescent="0.25">
      <c r="A196" s="2" t="s">
        <v>813</v>
      </c>
      <c r="B196" s="2" t="s">
        <v>805</v>
      </c>
      <c r="C196" s="2">
        <v>2024</v>
      </c>
      <c r="D196" s="2" t="str">
        <f>HYPERLINK("http://dx.doi.org/10.1108/JIMA-03-2023-0069","http://dx.doi.org/10.1108/JIMA-03-2023-0069")</f>
        <v>http://dx.doi.org/10.1108/JIMA-03-2023-0069</v>
      </c>
      <c r="E196" s="2" t="s">
        <v>814</v>
      </c>
      <c r="F196" s="2" t="s">
        <v>812</v>
      </c>
      <c r="G196" s="2" t="s">
        <v>55</v>
      </c>
      <c r="H196" s="2" t="str">
        <f>HYPERLINK("https%3A%2F%2Fwww.webofscience.com%2Fwos%2Fwoscc%2Ffull-record%2F","View Full Record in Web of Science")</f>
        <v>View Full Record in Web of Science</v>
      </c>
      <c r="I196" s="9"/>
    </row>
    <row r="197" spans="1:9" ht="15.75" x14ac:dyDescent="0.25">
      <c r="A197" s="7"/>
      <c r="B197" s="7" t="s">
        <v>815</v>
      </c>
      <c r="C197" s="7">
        <v>2023</v>
      </c>
      <c r="D197" s="7" t="s">
        <v>816</v>
      </c>
      <c r="E197" s="7" t="s">
        <v>817</v>
      </c>
      <c r="F197" s="7"/>
      <c r="G197" s="7"/>
      <c r="H197" s="7" t="s">
        <v>26</v>
      </c>
      <c r="I197" s="9"/>
    </row>
    <row r="198" spans="1:9" ht="15.75" x14ac:dyDescent="0.25">
      <c r="A198" s="7" t="s">
        <v>818</v>
      </c>
      <c r="B198" s="7" t="s">
        <v>819</v>
      </c>
      <c r="C198" s="7">
        <v>2024</v>
      </c>
      <c r="D198" s="7" t="s">
        <v>820</v>
      </c>
      <c r="E198" s="7" t="s">
        <v>821</v>
      </c>
      <c r="F198" s="7" t="s">
        <v>822</v>
      </c>
      <c r="G198" s="7" t="s">
        <v>55</v>
      </c>
      <c r="H198" s="7" t="s">
        <v>27</v>
      </c>
      <c r="I198" s="9" t="s">
        <v>56</v>
      </c>
    </row>
    <row r="199" spans="1:9" ht="15.75" x14ac:dyDescent="0.25">
      <c r="A199" s="2" t="s">
        <v>823</v>
      </c>
      <c r="B199" s="2" t="s">
        <v>819</v>
      </c>
      <c r="C199" s="2">
        <v>2024</v>
      </c>
      <c r="D199" s="2" t="str">
        <f>HYPERLINK("http://dx.doi.org/10.1080/13675567.2023.2217772","http://dx.doi.org/10.1080/13675567.2023.2217772")</f>
        <v>http://dx.doi.org/10.1080/13675567.2023.2217772</v>
      </c>
      <c r="E199" s="2" t="s">
        <v>824</v>
      </c>
      <c r="F199" s="2" t="s">
        <v>825</v>
      </c>
      <c r="G199" s="2" t="s">
        <v>55</v>
      </c>
      <c r="H199" s="2" t="str">
        <f>HYPERLINK("https%3A%2F%2Fwww.webofscience.com%2Fwos%2Fwoscc%2Ffull-record%2F","View Full Record in Web of Science")</f>
        <v>View Full Record in Web of Science</v>
      </c>
      <c r="I199" s="9"/>
    </row>
    <row r="200" spans="1:9" ht="15.75" x14ac:dyDescent="0.25">
      <c r="A200" s="7" t="s">
        <v>826</v>
      </c>
      <c r="B200" s="7" t="s">
        <v>827</v>
      </c>
      <c r="C200" s="7">
        <v>2024</v>
      </c>
      <c r="D200" s="7" t="s">
        <v>828</v>
      </c>
      <c r="E200" s="7" t="s">
        <v>829</v>
      </c>
      <c r="F200" s="7" t="s">
        <v>830</v>
      </c>
      <c r="G200" s="7"/>
      <c r="H200" s="7" t="s">
        <v>40</v>
      </c>
      <c r="I200" s="9"/>
    </row>
    <row r="201" spans="1:9" ht="15.75" x14ac:dyDescent="0.25">
      <c r="A201" s="7" t="s">
        <v>831</v>
      </c>
      <c r="B201" s="7" t="s">
        <v>832</v>
      </c>
      <c r="C201" s="7">
        <v>2017</v>
      </c>
      <c r="D201" s="8" t="s">
        <v>833</v>
      </c>
      <c r="E201" s="7" t="s">
        <v>834</v>
      </c>
      <c r="F201" s="7"/>
      <c r="G201" s="7" t="s">
        <v>266</v>
      </c>
      <c r="H201" s="7" t="s">
        <v>15</v>
      </c>
      <c r="I201" s="9"/>
    </row>
    <row r="202" spans="1:9" ht="15.75" x14ac:dyDescent="0.25">
      <c r="A202" s="7" t="s">
        <v>835</v>
      </c>
      <c r="B202" s="7" t="s">
        <v>836</v>
      </c>
      <c r="C202" s="7">
        <v>2024</v>
      </c>
      <c r="D202" s="7" t="s">
        <v>837</v>
      </c>
      <c r="E202" s="7" t="s">
        <v>838</v>
      </c>
      <c r="F202" s="7"/>
      <c r="G202" s="7"/>
      <c r="H202" s="7" t="s">
        <v>130</v>
      </c>
      <c r="I202" s="9"/>
    </row>
    <row r="203" spans="1:9" ht="15.75" x14ac:dyDescent="0.25">
      <c r="A203" s="7" t="s">
        <v>839</v>
      </c>
      <c r="B203" s="7" t="s">
        <v>840</v>
      </c>
      <c r="C203" s="7">
        <v>2024</v>
      </c>
      <c r="D203" s="7" t="s">
        <v>841</v>
      </c>
      <c r="E203" s="7" t="s">
        <v>842</v>
      </c>
      <c r="F203" s="7" t="s">
        <v>843</v>
      </c>
      <c r="G203" s="7"/>
      <c r="H203" s="7" t="s">
        <v>232</v>
      </c>
      <c r="I203" s="9" t="s">
        <v>56</v>
      </c>
    </row>
    <row r="204" spans="1:9" ht="15.75" x14ac:dyDescent="0.25">
      <c r="A204" s="7" t="s">
        <v>844</v>
      </c>
      <c r="B204" s="7" t="s">
        <v>845</v>
      </c>
      <c r="C204" s="7">
        <v>2024</v>
      </c>
      <c r="D204" s="7" t="s">
        <v>846</v>
      </c>
      <c r="E204" s="7" t="s">
        <v>847</v>
      </c>
      <c r="F204" s="7" t="s">
        <v>848</v>
      </c>
      <c r="G204" s="7" t="s">
        <v>215</v>
      </c>
      <c r="H204" s="7" t="s">
        <v>216</v>
      </c>
      <c r="I204" s="9" t="s">
        <v>56</v>
      </c>
    </row>
    <row r="205" spans="1:9" ht="15.75" x14ac:dyDescent="0.25">
      <c r="A205" s="7" t="s">
        <v>839</v>
      </c>
      <c r="B205" s="7" t="s">
        <v>840</v>
      </c>
      <c r="C205" s="7">
        <v>2024</v>
      </c>
      <c r="D205" s="7" t="s">
        <v>841</v>
      </c>
      <c r="E205" s="7" t="s">
        <v>842</v>
      </c>
      <c r="F205" s="7" t="s">
        <v>843</v>
      </c>
      <c r="G205" s="7" t="s">
        <v>232</v>
      </c>
      <c r="H205" s="7" t="s">
        <v>27</v>
      </c>
      <c r="I205" s="9"/>
    </row>
    <row r="206" spans="1:9" ht="15.75" x14ac:dyDescent="0.25">
      <c r="A206" s="2" t="s">
        <v>849</v>
      </c>
      <c r="B206" s="2" t="s">
        <v>850</v>
      </c>
      <c r="C206" s="2">
        <v>2024</v>
      </c>
      <c r="D206" s="2" t="str">
        <f>HYPERLINK("http://dx.doi.org/10.1108/JIMA-08-2022-0229","http://dx.doi.org/10.1108/JIMA-08-2022-0229")</f>
        <v>http://dx.doi.org/10.1108/JIMA-08-2022-0229</v>
      </c>
      <c r="E206" s="2" t="s">
        <v>851</v>
      </c>
      <c r="F206" s="2" t="s">
        <v>852</v>
      </c>
      <c r="G206" s="2" t="s">
        <v>55</v>
      </c>
      <c r="H206" s="2" t="str">
        <f>HYPERLINK("https%3A%2F%2Fwww.webofscience.com%2Fwos%2Fwoscc%2Ffull-record%2F","View Full Record in Web of Science")</f>
        <v>View Full Record in Web of Science</v>
      </c>
      <c r="I206" s="3" t="s">
        <v>56</v>
      </c>
    </row>
    <row r="207" spans="1:9" ht="15.75" x14ac:dyDescent="0.25">
      <c r="A207" s="7" t="s">
        <v>853</v>
      </c>
      <c r="B207" s="7" t="s">
        <v>850</v>
      </c>
      <c r="C207" s="7">
        <v>2024</v>
      </c>
      <c r="D207" s="7" t="s">
        <v>854</v>
      </c>
      <c r="E207" s="7" t="s">
        <v>855</v>
      </c>
      <c r="F207" s="7" t="s">
        <v>856</v>
      </c>
      <c r="G207" s="7" t="s">
        <v>55</v>
      </c>
      <c r="H207" s="7" t="s">
        <v>27</v>
      </c>
      <c r="I207" s="9"/>
    </row>
    <row r="208" spans="1:9" ht="15.75" x14ac:dyDescent="0.25">
      <c r="A208" s="7" t="s">
        <v>857</v>
      </c>
      <c r="B208" s="7" t="s">
        <v>858</v>
      </c>
      <c r="C208" s="7">
        <v>2024</v>
      </c>
      <c r="D208" s="7" t="s">
        <v>859</v>
      </c>
      <c r="E208" s="7" t="s">
        <v>860</v>
      </c>
      <c r="F208" s="7" t="s">
        <v>861</v>
      </c>
      <c r="G208" s="7" t="s">
        <v>55</v>
      </c>
      <c r="H208" s="7" t="s">
        <v>27</v>
      </c>
      <c r="I208" s="9" t="s">
        <v>56</v>
      </c>
    </row>
    <row r="209" spans="1:9" ht="15.75" x14ac:dyDescent="0.25">
      <c r="A209" s="7" t="s">
        <v>857</v>
      </c>
      <c r="B209" s="7" t="s">
        <v>858</v>
      </c>
      <c r="C209" s="7">
        <v>2024</v>
      </c>
      <c r="D209" s="7" t="s">
        <v>859</v>
      </c>
      <c r="E209" s="7" t="s">
        <v>860</v>
      </c>
      <c r="F209" s="7" t="s">
        <v>861</v>
      </c>
      <c r="G209" s="7"/>
      <c r="H209" s="7" t="s">
        <v>55</v>
      </c>
      <c r="I209" s="9"/>
    </row>
    <row r="210" spans="1:9" ht="15.75" x14ac:dyDescent="0.25">
      <c r="A210" s="2" t="s">
        <v>862</v>
      </c>
      <c r="B210" s="2" t="s">
        <v>863</v>
      </c>
      <c r="C210" s="2">
        <v>2021</v>
      </c>
      <c r="D210" s="2" t="s">
        <v>864</v>
      </c>
      <c r="E210" s="2" t="s">
        <v>865</v>
      </c>
      <c r="F210" s="2" t="s">
        <v>866</v>
      </c>
      <c r="G210" s="2" t="s">
        <v>55</v>
      </c>
      <c r="H210" s="2" t="str">
        <f>HYPERLINK("https%3A%2F%2Fwww.webofscience.com%2Fwos%2Fwoscc%2Ffull-record%2F","View Full Record in Web of Science")</f>
        <v>View Full Record in Web of Science</v>
      </c>
      <c r="I210" s="3" t="s">
        <v>56</v>
      </c>
    </row>
    <row r="211" spans="1:9" ht="15.75" x14ac:dyDescent="0.25">
      <c r="A211" s="7" t="s">
        <v>867</v>
      </c>
      <c r="B211" s="7" t="s">
        <v>863</v>
      </c>
      <c r="C211" s="7">
        <v>2021</v>
      </c>
      <c r="D211" s="7" t="s">
        <v>868</v>
      </c>
      <c r="E211" s="7" t="s">
        <v>869</v>
      </c>
      <c r="F211" s="7" t="s">
        <v>870</v>
      </c>
      <c r="G211" s="7" t="s">
        <v>55</v>
      </c>
      <c r="H211" s="7" t="s">
        <v>27</v>
      </c>
      <c r="I211" s="9"/>
    </row>
    <row r="212" spans="1:9" ht="15.75" x14ac:dyDescent="0.25">
      <c r="A212" s="2" t="s">
        <v>871</v>
      </c>
      <c r="B212" s="2" t="s">
        <v>872</v>
      </c>
      <c r="C212" s="2">
        <v>2020</v>
      </c>
      <c r="D212" s="2" t="str">
        <f>HYPERLINK("http://dx.doi.org/10.5281/zenodo.4766544","http://dx.doi.org/10.5281/zenodo.4766544")</f>
        <v>http://dx.doi.org/10.5281/zenodo.4766544</v>
      </c>
      <c r="E212" s="2" t="s">
        <v>873</v>
      </c>
      <c r="F212" s="2" t="s">
        <v>874</v>
      </c>
      <c r="G212" s="2" t="s">
        <v>55</v>
      </c>
      <c r="H212" s="2" t="str">
        <f>HYPERLINK("https%3A%2F%2Fwww.webofscience.com%2Fwos%2Fwoscc%2Ffull-record%2F","View Full Record in Web of Science")</f>
        <v>View Full Record in Web of Science</v>
      </c>
      <c r="I212" s="3" t="s">
        <v>56</v>
      </c>
    </row>
    <row r="213" spans="1:9" ht="15.75" x14ac:dyDescent="0.25">
      <c r="A213" s="7" t="s">
        <v>875</v>
      </c>
      <c r="B213" s="7" t="s">
        <v>872</v>
      </c>
      <c r="C213" s="7">
        <v>2021</v>
      </c>
      <c r="D213" s="7" t="s">
        <v>876</v>
      </c>
      <c r="E213" s="7" t="s">
        <v>877</v>
      </c>
      <c r="F213" s="7" t="s">
        <v>878</v>
      </c>
      <c r="G213" s="7" t="s">
        <v>55</v>
      </c>
      <c r="H213" s="7" t="s">
        <v>27</v>
      </c>
      <c r="I213" s="9"/>
    </row>
    <row r="214" spans="1:9" ht="15.75" x14ac:dyDescent="0.25">
      <c r="A214" s="7" t="s">
        <v>879</v>
      </c>
      <c r="B214" s="7" t="s">
        <v>880</v>
      </c>
      <c r="C214" s="7">
        <v>2022</v>
      </c>
      <c r="D214" s="12" t="s">
        <v>881</v>
      </c>
      <c r="E214" s="7" t="s">
        <v>882</v>
      </c>
      <c r="F214" s="7" t="s">
        <v>883</v>
      </c>
      <c r="G214" s="7"/>
      <c r="H214" s="7" t="s">
        <v>40</v>
      </c>
      <c r="I214" s="9"/>
    </row>
    <row r="215" spans="1:9" ht="15.75" x14ac:dyDescent="0.25">
      <c r="A215" s="7" t="s">
        <v>884</v>
      </c>
      <c r="B215" s="7" t="s">
        <v>885</v>
      </c>
      <c r="C215" s="7">
        <v>2024</v>
      </c>
      <c r="D215" s="7" t="s">
        <v>886</v>
      </c>
      <c r="E215" s="12" t="s">
        <v>887</v>
      </c>
      <c r="F215" s="7" t="s">
        <v>888</v>
      </c>
      <c r="G215" s="7"/>
      <c r="H215" s="7" t="s">
        <v>40</v>
      </c>
      <c r="I215" s="3"/>
    </row>
    <row r="216" spans="1:9" ht="15.75" x14ac:dyDescent="0.25">
      <c r="A216" s="7" t="s">
        <v>889</v>
      </c>
      <c r="B216" s="7" t="s">
        <v>890</v>
      </c>
      <c r="C216" s="7">
        <v>2023</v>
      </c>
      <c r="D216" s="7" t="s">
        <v>891</v>
      </c>
      <c r="E216" s="12" t="s">
        <v>892</v>
      </c>
      <c r="F216" s="7" t="s">
        <v>893</v>
      </c>
      <c r="G216" s="7"/>
      <c r="H216" s="7" t="s">
        <v>40</v>
      </c>
      <c r="I216" s="9"/>
    </row>
    <row r="217" spans="1:9" ht="15.75" x14ac:dyDescent="0.25">
      <c r="A217" s="7" t="s">
        <v>894</v>
      </c>
      <c r="B217" s="7" t="s">
        <v>895</v>
      </c>
      <c r="C217" s="7">
        <v>2023</v>
      </c>
      <c r="D217" s="7" t="s">
        <v>896</v>
      </c>
      <c r="E217" s="7" t="s">
        <v>897</v>
      </c>
      <c r="F217" s="7"/>
      <c r="G217" s="7" t="s">
        <v>232</v>
      </c>
      <c r="H217" s="7" t="s">
        <v>27</v>
      </c>
      <c r="I217" s="9"/>
    </row>
    <row r="218" spans="1:9" x14ac:dyDescent="0.25">
      <c r="A218" s="6" t="s">
        <v>898</v>
      </c>
      <c r="B218" s="6" t="s">
        <v>899</v>
      </c>
      <c r="C218" s="6">
        <v>2021</v>
      </c>
      <c r="D218" s="6" t="s">
        <v>900</v>
      </c>
      <c r="E218" s="6" t="s">
        <v>901</v>
      </c>
      <c r="F218" s="6" t="s">
        <v>902</v>
      </c>
      <c r="G218" s="6" t="s">
        <v>157</v>
      </c>
      <c r="H218" s="6" t="s">
        <v>903</v>
      </c>
      <c r="I218" s="11"/>
    </row>
    <row r="219" spans="1:9" ht="15.75" x14ac:dyDescent="0.25">
      <c r="A219" s="7" t="s">
        <v>904</v>
      </c>
      <c r="B219" s="7" t="s">
        <v>905</v>
      </c>
      <c r="C219" s="7">
        <v>2024</v>
      </c>
      <c r="D219" s="7" t="s">
        <v>906</v>
      </c>
      <c r="E219" s="12" t="s">
        <v>907</v>
      </c>
      <c r="F219" s="7" t="s">
        <v>908</v>
      </c>
      <c r="G219" s="7"/>
      <c r="H219" s="7" t="s">
        <v>40</v>
      </c>
      <c r="I219" s="9"/>
    </row>
    <row r="220" spans="1:9" ht="15.75" x14ac:dyDescent="0.25">
      <c r="A220" s="7" t="s">
        <v>909</v>
      </c>
      <c r="B220" s="7" t="s">
        <v>910</v>
      </c>
      <c r="C220" s="7">
        <v>2024</v>
      </c>
      <c r="D220" s="7" t="s">
        <v>911</v>
      </c>
      <c r="E220" s="7" t="s">
        <v>912</v>
      </c>
      <c r="F220" s="12" t="s">
        <v>913</v>
      </c>
      <c r="G220" s="7"/>
      <c r="H220" s="7" t="s">
        <v>40</v>
      </c>
      <c r="I220" s="9"/>
    </row>
    <row r="221" spans="1:9" ht="15.75" x14ac:dyDescent="0.25">
      <c r="A221" s="7" t="s">
        <v>914</v>
      </c>
      <c r="B221" s="7" t="s">
        <v>915</v>
      </c>
      <c r="C221" s="7">
        <v>2025</v>
      </c>
      <c r="D221" s="7" t="s">
        <v>916</v>
      </c>
      <c r="E221" s="7" t="s">
        <v>917</v>
      </c>
      <c r="F221" s="7" t="s">
        <v>918</v>
      </c>
      <c r="G221" s="7" t="s">
        <v>55</v>
      </c>
      <c r="H221" s="7" t="s">
        <v>27</v>
      </c>
      <c r="I221" s="9"/>
    </row>
    <row r="222" spans="1:9" ht="15.75" x14ac:dyDescent="0.25">
      <c r="A222" s="7" t="s">
        <v>919</v>
      </c>
      <c r="B222" s="7" t="s">
        <v>920</v>
      </c>
      <c r="C222" s="7">
        <v>2025</v>
      </c>
      <c r="D222" s="7" t="s">
        <v>921</v>
      </c>
      <c r="E222" s="7" t="s">
        <v>922</v>
      </c>
      <c r="F222" s="7" t="s">
        <v>923</v>
      </c>
      <c r="G222" s="7"/>
      <c r="H222" s="7" t="s">
        <v>40</v>
      </c>
      <c r="I222" s="9"/>
    </row>
    <row r="223" spans="1:9" ht="15.75" x14ac:dyDescent="0.25">
      <c r="A223" s="2" t="s">
        <v>924</v>
      </c>
      <c r="B223" s="2" t="s">
        <v>925</v>
      </c>
      <c r="C223" s="2">
        <v>2023</v>
      </c>
      <c r="D223" s="2" t="str">
        <f>HYPERLINK("http://dx.doi.org/10.1108/IJOEM-05-2021-0678","http://dx.doi.org/10.1108/IJOEM-05-2021-0678")</f>
        <v>http://dx.doi.org/10.1108/IJOEM-05-2021-0678</v>
      </c>
      <c r="E223" s="2" t="s">
        <v>926</v>
      </c>
      <c r="F223" s="2" t="s">
        <v>927</v>
      </c>
      <c r="G223" s="2" t="s">
        <v>928</v>
      </c>
      <c r="H223" s="2" t="str">
        <f>HYPERLINK("https%3A%2F%2Fwww.webofscience.com%2Fwos%2Fwoscc%2Ffull-record%2F","View Full Record in Web of Science")</f>
        <v>View Full Record in Web of Science</v>
      </c>
      <c r="I223" s="3"/>
    </row>
    <row r="224" spans="1:9" ht="15.75" x14ac:dyDescent="0.25">
      <c r="A224" s="7" t="s">
        <v>929</v>
      </c>
      <c r="B224" s="7" t="s">
        <v>930</v>
      </c>
      <c r="C224" s="7">
        <v>2025</v>
      </c>
      <c r="D224" s="7" t="s">
        <v>931</v>
      </c>
      <c r="E224" s="7" t="s">
        <v>932</v>
      </c>
      <c r="F224" s="7" t="s">
        <v>933</v>
      </c>
      <c r="G224" s="7"/>
      <c r="H224" s="7" t="s">
        <v>40</v>
      </c>
      <c r="I224" s="9" t="s">
        <v>56</v>
      </c>
    </row>
    <row r="225" spans="1:9" ht="15.75" x14ac:dyDescent="0.25">
      <c r="A225" s="7" t="s">
        <v>934</v>
      </c>
      <c r="B225" s="7" t="s">
        <v>930</v>
      </c>
      <c r="C225" s="7">
        <v>2025</v>
      </c>
      <c r="D225" s="7" t="s">
        <v>935</v>
      </c>
      <c r="E225" s="7" t="s">
        <v>936</v>
      </c>
      <c r="F225" s="7" t="s">
        <v>937</v>
      </c>
      <c r="G225" s="7" t="s">
        <v>318</v>
      </c>
      <c r="H225" s="7" t="s">
        <v>27</v>
      </c>
      <c r="I225" s="9" t="s">
        <v>56</v>
      </c>
    </row>
    <row r="226" spans="1:9" ht="15.75" x14ac:dyDescent="0.25">
      <c r="A226" s="7" t="s">
        <v>934</v>
      </c>
      <c r="B226" s="7" t="s">
        <v>930</v>
      </c>
      <c r="C226" s="7">
        <v>2025</v>
      </c>
      <c r="D226" s="7" t="s">
        <v>935</v>
      </c>
      <c r="E226" s="7" t="s">
        <v>936</v>
      </c>
      <c r="F226" s="7" t="s">
        <v>937</v>
      </c>
      <c r="G226" s="7"/>
      <c r="H226" s="7" t="s">
        <v>318</v>
      </c>
      <c r="I226" s="9" t="s">
        <v>56</v>
      </c>
    </row>
    <row r="227" spans="1:9" ht="15.75" x14ac:dyDescent="0.25">
      <c r="A227" s="2" t="s">
        <v>938</v>
      </c>
      <c r="B227" s="2" t="s">
        <v>930</v>
      </c>
      <c r="C227" s="2">
        <v>2025</v>
      </c>
      <c r="D227" s="2" t="str">
        <f>HYPERLINK("http://dx.doi.org/10.1016/j.foodcont.2024.111003","http://dx.doi.org/10.1016/j.foodcont.2024.111003")</f>
        <v>http://dx.doi.org/10.1016/j.foodcont.2024.111003</v>
      </c>
      <c r="E227" s="2" t="s">
        <v>932</v>
      </c>
      <c r="F227" s="2" t="s">
        <v>933</v>
      </c>
      <c r="G227" s="2" t="s">
        <v>318</v>
      </c>
      <c r="H227" s="2" t="str">
        <f>HYPERLINK("https%3A%2F%2Fwww.webofscience.com%2Fwos%2Fwoscc%2Ffull-record%2F","View Full Record in Web of Science")</f>
        <v>View Full Record in Web of Science</v>
      </c>
      <c r="I227" s="9"/>
    </row>
    <row r="228" spans="1:9" ht="15.75" x14ac:dyDescent="0.25">
      <c r="A228" s="7" t="s">
        <v>939</v>
      </c>
      <c r="B228" s="7" t="s">
        <v>940</v>
      </c>
      <c r="C228" s="7">
        <v>2021</v>
      </c>
      <c r="D228" s="7" t="s">
        <v>941</v>
      </c>
      <c r="E228" s="7" t="s">
        <v>942</v>
      </c>
      <c r="F228" s="7" t="s">
        <v>943</v>
      </c>
      <c r="G228" s="7"/>
      <c r="H228" s="7" t="s">
        <v>40</v>
      </c>
      <c r="I228" s="9"/>
    </row>
    <row r="229" spans="1:9" ht="15.75" x14ac:dyDescent="0.25">
      <c r="A229" s="7" t="s">
        <v>944</v>
      </c>
      <c r="B229" s="7" t="s">
        <v>945</v>
      </c>
      <c r="C229" s="7">
        <v>2024</v>
      </c>
      <c r="D229" s="7" t="s">
        <v>946</v>
      </c>
      <c r="E229" s="7" t="s">
        <v>947</v>
      </c>
      <c r="F229" s="7" t="s">
        <v>948</v>
      </c>
      <c r="G229" s="7"/>
      <c r="H229" s="7" t="s">
        <v>40</v>
      </c>
      <c r="I229" s="9" t="s">
        <v>56</v>
      </c>
    </row>
    <row r="230" spans="1:9" ht="15.75" x14ac:dyDescent="0.25">
      <c r="A230" s="7" t="s">
        <v>949</v>
      </c>
      <c r="B230" s="7" t="s">
        <v>950</v>
      </c>
      <c r="C230" s="7">
        <v>2024</v>
      </c>
      <c r="D230" s="7" t="s">
        <v>951</v>
      </c>
      <c r="E230" s="7" t="s">
        <v>952</v>
      </c>
      <c r="F230" s="7" t="s">
        <v>953</v>
      </c>
      <c r="G230" s="7"/>
      <c r="H230" s="7" t="s">
        <v>55</v>
      </c>
      <c r="I230" s="9" t="s">
        <v>56</v>
      </c>
    </row>
    <row r="231" spans="1:9" ht="15.75" x14ac:dyDescent="0.25">
      <c r="A231" s="7" t="s">
        <v>949</v>
      </c>
      <c r="B231" s="7" t="s">
        <v>950</v>
      </c>
      <c r="C231" s="7">
        <v>2024</v>
      </c>
      <c r="D231" s="7" t="s">
        <v>951</v>
      </c>
      <c r="E231" s="7" t="s">
        <v>952</v>
      </c>
      <c r="F231" s="7" t="s">
        <v>953</v>
      </c>
      <c r="G231" s="7" t="s">
        <v>55</v>
      </c>
      <c r="H231" s="7" t="s">
        <v>27</v>
      </c>
      <c r="I231" s="9"/>
    </row>
    <row r="232" spans="1:9" ht="15.75" x14ac:dyDescent="0.25">
      <c r="A232" s="7" t="s">
        <v>954</v>
      </c>
      <c r="B232" s="7" t="s">
        <v>955</v>
      </c>
      <c r="C232" s="7">
        <v>2023</v>
      </c>
      <c r="D232" s="7" t="s">
        <v>956</v>
      </c>
      <c r="E232" s="7" t="s">
        <v>957</v>
      </c>
      <c r="F232" s="7" t="s">
        <v>958</v>
      </c>
      <c r="G232" s="7" t="s">
        <v>232</v>
      </c>
      <c r="H232" s="7" t="s">
        <v>27</v>
      </c>
      <c r="I232" s="9" t="s">
        <v>56</v>
      </c>
    </row>
    <row r="233" spans="1:9" ht="15.75" x14ac:dyDescent="0.25">
      <c r="A233" s="7" t="s">
        <v>959</v>
      </c>
      <c r="B233" s="7" t="s">
        <v>955</v>
      </c>
      <c r="C233" s="7">
        <v>2023</v>
      </c>
      <c r="D233" s="7" t="s">
        <v>960</v>
      </c>
      <c r="E233" s="7" t="s">
        <v>961</v>
      </c>
      <c r="F233" s="7" t="s">
        <v>962</v>
      </c>
      <c r="G233" s="7" t="s">
        <v>215</v>
      </c>
      <c r="H233" s="7" t="s">
        <v>216</v>
      </c>
      <c r="I233" s="9"/>
    </row>
    <row r="234" spans="1:9" ht="15.75" x14ac:dyDescent="0.25">
      <c r="A234" s="7" t="s">
        <v>963</v>
      </c>
      <c r="B234" s="7" t="s">
        <v>964</v>
      </c>
      <c r="C234" s="7">
        <v>2024</v>
      </c>
      <c r="D234" s="7" t="s">
        <v>965</v>
      </c>
      <c r="E234" s="7" t="s">
        <v>966</v>
      </c>
      <c r="F234" s="7" t="s">
        <v>967</v>
      </c>
      <c r="G234" s="7" t="s">
        <v>55</v>
      </c>
      <c r="H234" s="7" t="s">
        <v>27</v>
      </c>
      <c r="I234" s="9"/>
    </row>
    <row r="235" spans="1:9" ht="15.75" x14ac:dyDescent="0.25">
      <c r="A235" s="7" t="s">
        <v>968</v>
      </c>
      <c r="B235" s="7" t="s">
        <v>969</v>
      </c>
      <c r="C235" s="7">
        <v>2020</v>
      </c>
      <c r="D235" s="7" t="s">
        <v>970</v>
      </c>
      <c r="E235" s="7" t="s">
        <v>971</v>
      </c>
      <c r="F235" s="7"/>
      <c r="G235" s="7"/>
      <c r="H235" s="7" t="s">
        <v>40</v>
      </c>
      <c r="I235" s="9"/>
    </row>
    <row r="236" spans="1:9" ht="15.75" x14ac:dyDescent="0.25">
      <c r="A236" s="7" t="s">
        <v>972</v>
      </c>
      <c r="B236" s="7" t="s">
        <v>973</v>
      </c>
      <c r="C236" s="7">
        <v>2022</v>
      </c>
      <c r="D236" s="7" t="s">
        <v>974</v>
      </c>
      <c r="E236" s="7" t="s">
        <v>975</v>
      </c>
      <c r="F236" s="7" t="s">
        <v>976</v>
      </c>
      <c r="G236" s="7" t="s">
        <v>215</v>
      </c>
      <c r="H236" s="7" t="s">
        <v>216</v>
      </c>
      <c r="I236" s="9"/>
    </row>
    <row r="237" spans="1:9" ht="15.75" x14ac:dyDescent="0.25">
      <c r="A237" s="7" t="s">
        <v>977</v>
      </c>
      <c r="B237" s="7" t="s">
        <v>978</v>
      </c>
      <c r="C237" s="7">
        <v>2024</v>
      </c>
      <c r="D237" s="7" t="s">
        <v>979</v>
      </c>
      <c r="E237" s="7" t="s">
        <v>980</v>
      </c>
      <c r="F237" s="12" t="s">
        <v>981</v>
      </c>
      <c r="G237" s="7"/>
      <c r="H237" s="7" t="s">
        <v>40</v>
      </c>
      <c r="I237" s="9"/>
    </row>
    <row r="238" spans="1:9" ht="15.75" x14ac:dyDescent="0.25">
      <c r="A238" s="7" t="s">
        <v>982</v>
      </c>
      <c r="B238" s="7" t="s">
        <v>983</v>
      </c>
      <c r="C238" s="7">
        <v>2023</v>
      </c>
      <c r="D238" s="7" t="s">
        <v>984</v>
      </c>
      <c r="E238" s="7" t="s">
        <v>985</v>
      </c>
      <c r="F238" s="7"/>
      <c r="G238" s="7" t="s">
        <v>986</v>
      </c>
      <c r="H238" s="7" t="s">
        <v>27</v>
      </c>
      <c r="I238" s="9"/>
    </row>
    <row r="239" spans="1:9" ht="15.75" x14ac:dyDescent="0.25">
      <c r="A239" s="7" t="s">
        <v>987</v>
      </c>
      <c r="B239" s="7" t="s">
        <v>988</v>
      </c>
      <c r="C239" s="7">
        <v>2024</v>
      </c>
      <c r="D239" s="7" t="s">
        <v>989</v>
      </c>
      <c r="E239" s="7" t="s">
        <v>990</v>
      </c>
      <c r="F239" s="7" t="s">
        <v>991</v>
      </c>
      <c r="G239" s="7" t="s">
        <v>130</v>
      </c>
      <c r="H239" s="7" t="s">
        <v>27</v>
      </c>
      <c r="I239" s="9"/>
    </row>
    <row r="240" spans="1:9" ht="15.75" x14ac:dyDescent="0.25">
      <c r="A240" s="7" t="s">
        <v>992</v>
      </c>
      <c r="B240" s="7" t="s">
        <v>993</v>
      </c>
      <c r="C240" s="7">
        <v>2023</v>
      </c>
      <c r="D240" s="7" t="s">
        <v>994</v>
      </c>
      <c r="E240" s="7" t="s">
        <v>995</v>
      </c>
      <c r="F240" s="7"/>
      <c r="G240" s="7"/>
      <c r="H240" s="7" t="s">
        <v>130</v>
      </c>
      <c r="I240" s="9" t="s">
        <v>56</v>
      </c>
    </row>
    <row r="241" spans="1:9" ht="15.75" x14ac:dyDescent="0.25">
      <c r="A241" s="7" t="s">
        <v>992</v>
      </c>
      <c r="B241" s="7" t="s">
        <v>993</v>
      </c>
      <c r="C241" s="7">
        <v>2023</v>
      </c>
      <c r="D241" s="7" t="s">
        <v>994</v>
      </c>
      <c r="E241" s="7" t="s">
        <v>995</v>
      </c>
      <c r="F241" s="7"/>
      <c r="G241" s="7" t="s">
        <v>130</v>
      </c>
      <c r="H241" s="7" t="s">
        <v>27</v>
      </c>
      <c r="I241" s="9"/>
    </row>
    <row r="242" spans="1:9" ht="15.75" x14ac:dyDescent="0.25">
      <c r="A242" s="7" t="s">
        <v>996</v>
      </c>
      <c r="B242" s="7" t="s">
        <v>997</v>
      </c>
      <c r="C242" s="7">
        <v>2019</v>
      </c>
      <c r="D242" s="7" t="s">
        <v>998</v>
      </c>
      <c r="E242" s="7" t="s">
        <v>999</v>
      </c>
      <c r="F242" s="7" t="s">
        <v>1000</v>
      </c>
      <c r="G242" s="7"/>
      <c r="H242" s="7" t="s">
        <v>55</v>
      </c>
      <c r="I242" s="9" t="s">
        <v>56</v>
      </c>
    </row>
    <row r="243" spans="1:9" ht="15.75" x14ac:dyDescent="0.25">
      <c r="A243" s="7" t="s">
        <v>996</v>
      </c>
      <c r="B243" s="7" t="s">
        <v>997</v>
      </c>
      <c r="C243" s="7">
        <v>2019</v>
      </c>
      <c r="D243" s="7" t="s">
        <v>998</v>
      </c>
      <c r="E243" s="7" t="s">
        <v>999</v>
      </c>
      <c r="F243" s="7" t="s">
        <v>1000</v>
      </c>
      <c r="G243" s="7" t="s">
        <v>55</v>
      </c>
      <c r="H243" s="7" t="s">
        <v>27</v>
      </c>
      <c r="I243" s="9"/>
    </row>
    <row r="244" spans="1:9" ht="15.75" x14ac:dyDescent="0.25">
      <c r="A244" s="7" t="s">
        <v>1001</v>
      </c>
      <c r="B244" s="7" t="s">
        <v>1002</v>
      </c>
      <c r="C244" s="7">
        <v>2020</v>
      </c>
      <c r="D244" s="7" t="s">
        <v>1003</v>
      </c>
      <c r="E244" s="7" t="s">
        <v>1004</v>
      </c>
      <c r="F244" s="7" t="s">
        <v>1005</v>
      </c>
      <c r="G244" s="7"/>
      <c r="H244" s="7" t="s">
        <v>40</v>
      </c>
      <c r="I244" s="9"/>
    </row>
    <row r="245" spans="1:9" ht="15.75" x14ac:dyDescent="0.25">
      <c r="A245" s="2" t="s">
        <v>1006</v>
      </c>
      <c r="B245" s="2" t="s">
        <v>1007</v>
      </c>
      <c r="C245" s="2">
        <v>2020</v>
      </c>
      <c r="D245" s="2" t="str">
        <f>HYPERLINK("http://dx.doi.org/10.1108/SCM-01-2020-0044","http://dx.doi.org/10.1108/SCM-01-2020-0044")</f>
        <v>http://dx.doi.org/10.1108/SCM-01-2020-0044</v>
      </c>
      <c r="E245" s="2" t="s">
        <v>1008</v>
      </c>
      <c r="F245" s="2" t="s">
        <v>1009</v>
      </c>
      <c r="G245" s="2" t="s">
        <v>55</v>
      </c>
      <c r="H245" s="2" t="str">
        <f>HYPERLINK("https%3A%2F%2Fwww.webofscience.com%2Fwos%2Fwoscc%2Ffull-record%2F","View Full Record in Web of Science")</f>
        <v>View Full Record in Web of Science</v>
      </c>
      <c r="I245" s="3" t="s">
        <v>56</v>
      </c>
    </row>
    <row r="246" spans="1:9" ht="15.75" x14ac:dyDescent="0.25">
      <c r="A246" s="7" t="s">
        <v>1010</v>
      </c>
      <c r="B246" s="7" t="s">
        <v>1007</v>
      </c>
      <c r="C246" s="7">
        <v>2020</v>
      </c>
      <c r="D246" s="7" t="s">
        <v>1011</v>
      </c>
      <c r="E246" s="7" t="s">
        <v>1012</v>
      </c>
      <c r="F246" s="7" t="s">
        <v>1013</v>
      </c>
      <c r="G246" s="7" t="s">
        <v>55</v>
      </c>
      <c r="H246" s="7" t="s">
        <v>27</v>
      </c>
      <c r="I246" s="9"/>
    </row>
    <row r="247" spans="1:9" ht="15.75" x14ac:dyDescent="0.25">
      <c r="A247" s="7" t="s">
        <v>1014</v>
      </c>
      <c r="B247" s="7" t="s">
        <v>1015</v>
      </c>
      <c r="C247" s="7">
        <v>2024</v>
      </c>
      <c r="D247" s="7" t="s">
        <v>1016</v>
      </c>
      <c r="E247" s="7" t="s">
        <v>1017</v>
      </c>
      <c r="F247" s="7"/>
      <c r="G247" s="7" t="s">
        <v>986</v>
      </c>
      <c r="H247" s="7" t="s">
        <v>27</v>
      </c>
      <c r="I247" s="9"/>
    </row>
    <row r="248" spans="1:9" ht="15.75" x14ac:dyDescent="0.25">
      <c r="A248" s="7" t="s">
        <v>1018</v>
      </c>
      <c r="B248" s="7" t="s">
        <v>1019</v>
      </c>
      <c r="C248" s="7">
        <v>2021</v>
      </c>
      <c r="D248" s="7" t="s">
        <v>1020</v>
      </c>
      <c r="E248" s="7" t="s">
        <v>1021</v>
      </c>
      <c r="F248" s="7" t="s">
        <v>1022</v>
      </c>
      <c r="G248" s="7"/>
      <c r="H248" s="7" t="s">
        <v>40</v>
      </c>
      <c r="I248" s="9"/>
    </row>
    <row r="249" spans="1:9" ht="15.75" x14ac:dyDescent="0.25">
      <c r="A249" s="12" t="s">
        <v>1023</v>
      </c>
      <c r="B249" s="7" t="s">
        <v>1024</v>
      </c>
      <c r="C249" s="7">
        <v>2024</v>
      </c>
      <c r="D249" s="7" t="s">
        <v>1025</v>
      </c>
      <c r="E249" s="7" t="s">
        <v>1026</v>
      </c>
      <c r="F249" s="7" t="s">
        <v>1027</v>
      </c>
      <c r="G249" s="7"/>
      <c r="H249" s="7" t="s">
        <v>40</v>
      </c>
      <c r="I249" s="9"/>
    </row>
    <row r="250" spans="1:9" ht="15.75" x14ac:dyDescent="0.25">
      <c r="A250" s="7" t="s">
        <v>1028</v>
      </c>
      <c r="B250" s="7" t="s">
        <v>1029</v>
      </c>
      <c r="C250" s="7">
        <v>2024</v>
      </c>
      <c r="D250" s="7" t="s">
        <v>1030</v>
      </c>
      <c r="E250" s="7" t="s">
        <v>1031</v>
      </c>
      <c r="F250" s="7" t="s">
        <v>1032</v>
      </c>
      <c r="G250" s="7"/>
      <c r="H250" s="7" t="s">
        <v>130</v>
      </c>
      <c r="I250" s="9" t="s">
        <v>56</v>
      </c>
    </row>
    <row r="251" spans="1:9" ht="15.75" x14ac:dyDescent="0.25">
      <c r="A251" s="7" t="s">
        <v>1028</v>
      </c>
      <c r="B251" s="7" t="s">
        <v>1029</v>
      </c>
      <c r="C251" s="7">
        <v>2024</v>
      </c>
      <c r="D251" s="7" t="s">
        <v>1030</v>
      </c>
      <c r="E251" s="7" t="s">
        <v>1031</v>
      </c>
      <c r="F251" s="7" t="s">
        <v>1032</v>
      </c>
      <c r="G251" s="7" t="s">
        <v>130</v>
      </c>
      <c r="H251" s="7" t="s">
        <v>27</v>
      </c>
      <c r="I251" s="9"/>
    </row>
    <row r="252" spans="1:9" ht="15.75" x14ac:dyDescent="0.25">
      <c r="A252" s="7" t="s">
        <v>1033</v>
      </c>
      <c r="B252" s="7" t="s">
        <v>1034</v>
      </c>
      <c r="C252" s="7">
        <v>2018</v>
      </c>
      <c r="D252" s="7" t="s">
        <v>1035</v>
      </c>
      <c r="E252" s="7" t="s">
        <v>1036</v>
      </c>
      <c r="F252" s="7" t="s">
        <v>1037</v>
      </c>
      <c r="G252" s="7" t="s">
        <v>266</v>
      </c>
      <c r="H252" s="7" t="s">
        <v>15</v>
      </c>
      <c r="I252" s="9"/>
    </row>
    <row r="253" spans="1:9" ht="15.75" x14ac:dyDescent="0.25">
      <c r="A253" s="7" t="s">
        <v>1038</v>
      </c>
      <c r="B253" s="7" t="s">
        <v>1039</v>
      </c>
      <c r="C253" s="7">
        <v>2025</v>
      </c>
      <c r="D253" s="7" t="s">
        <v>1040</v>
      </c>
      <c r="E253" s="12" t="s">
        <v>1041</v>
      </c>
      <c r="F253" s="7" t="s">
        <v>1042</v>
      </c>
      <c r="G253" s="7"/>
      <c r="H253" s="7" t="s">
        <v>40</v>
      </c>
      <c r="I253" s="9"/>
    </row>
    <row r="254" spans="1:9" ht="15.75" x14ac:dyDescent="0.25">
      <c r="A254" s="7" t="s">
        <v>1043</v>
      </c>
      <c r="B254" s="7" t="s">
        <v>1044</v>
      </c>
      <c r="C254" s="7">
        <v>2022</v>
      </c>
      <c r="D254" s="7" t="s">
        <v>1045</v>
      </c>
      <c r="E254" s="12" t="s">
        <v>1046</v>
      </c>
      <c r="F254" s="7" t="s">
        <v>1047</v>
      </c>
      <c r="G254" s="7"/>
      <c r="H254" s="7" t="s">
        <v>40</v>
      </c>
      <c r="I254" s="9"/>
    </row>
    <row r="255" spans="1:9" ht="15.75" x14ac:dyDescent="0.25">
      <c r="A255" s="7" t="s">
        <v>1048</v>
      </c>
      <c r="B255" s="7" t="s">
        <v>1049</v>
      </c>
      <c r="C255" s="7">
        <v>2022</v>
      </c>
      <c r="D255" s="7" t="s">
        <v>1050</v>
      </c>
      <c r="E255" s="12" t="s">
        <v>1051</v>
      </c>
      <c r="F255" s="12" t="s">
        <v>1052</v>
      </c>
      <c r="G255" s="7"/>
      <c r="H255" s="7" t="s">
        <v>40</v>
      </c>
      <c r="I255" s="9"/>
    </row>
    <row r="256" spans="1:9" ht="15.75" x14ac:dyDescent="0.25">
      <c r="A256" s="2" t="s">
        <v>1053</v>
      </c>
      <c r="B256" s="2" t="s">
        <v>1054</v>
      </c>
      <c r="C256" s="2">
        <v>2022</v>
      </c>
      <c r="D256" s="2" t="str">
        <f>HYPERLINK("http://dx.doi.org/10.3390/logistics6040067","http://dx.doi.org/10.3390/logistics6040067")</f>
        <v>http://dx.doi.org/10.3390/logistics6040067</v>
      </c>
      <c r="E256" s="2" t="s">
        <v>1055</v>
      </c>
      <c r="F256" s="2" t="s">
        <v>1056</v>
      </c>
      <c r="G256" s="2" t="s">
        <v>318</v>
      </c>
      <c r="H256" s="2" t="str">
        <f>HYPERLINK("https%3A%2F%2Fwww.webofscience.com%2Fwos%2Fwoscc%2Ffull-record%2F","View Full Record in Web of Science")</f>
        <v>View Full Record in Web of Science</v>
      </c>
      <c r="I256" s="3" t="s">
        <v>56</v>
      </c>
    </row>
    <row r="257" spans="1:9" ht="15.75" x14ac:dyDescent="0.25">
      <c r="A257" s="7" t="s">
        <v>1057</v>
      </c>
      <c r="B257" s="7" t="s">
        <v>1054</v>
      </c>
      <c r="C257" s="7">
        <v>2022</v>
      </c>
      <c r="D257" s="7" t="s">
        <v>1058</v>
      </c>
      <c r="E257" s="7" t="s">
        <v>1059</v>
      </c>
      <c r="F257" s="7" t="s">
        <v>1060</v>
      </c>
      <c r="G257" s="7" t="s">
        <v>318</v>
      </c>
      <c r="H257" s="7" t="s">
        <v>27</v>
      </c>
      <c r="I257" s="9"/>
    </row>
    <row r="258" spans="1:9" ht="15.75" x14ac:dyDescent="0.25">
      <c r="A258" s="7" t="s">
        <v>1061</v>
      </c>
      <c r="B258" s="7" t="s">
        <v>1062</v>
      </c>
      <c r="C258" s="7">
        <v>2021</v>
      </c>
      <c r="D258" s="7" t="s">
        <v>1063</v>
      </c>
      <c r="E258" s="7" t="s">
        <v>1064</v>
      </c>
      <c r="F258" s="7" t="s">
        <v>1065</v>
      </c>
      <c r="G258" s="7" t="s">
        <v>215</v>
      </c>
      <c r="H258" s="7" t="s">
        <v>216</v>
      </c>
      <c r="I258" s="9" t="s">
        <v>56</v>
      </c>
    </row>
    <row r="259" spans="1:9" ht="15.75" x14ac:dyDescent="0.25">
      <c r="A259" s="7" t="s">
        <v>1066</v>
      </c>
      <c r="B259" s="7" t="s">
        <v>1062</v>
      </c>
      <c r="C259" s="7">
        <v>2021</v>
      </c>
      <c r="D259" s="7" t="s">
        <v>1067</v>
      </c>
      <c r="E259" s="7" t="s">
        <v>1068</v>
      </c>
      <c r="F259" s="7" t="s">
        <v>1069</v>
      </c>
      <c r="G259" s="7" t="s">
        <v>232</v>
      </c>
      <c r="H259" s="7" t="s">
        <v>27</v>
      </c>
      <c r="I259" s="9"/>
    </row>
    <row r="260" spans="1:9" ht="15.75" x14ac:dyDescent="0.25">
      <c r="A260" s="7" t="s">
        <v>1070</v>
      </c>
      <c r="B260" s="7" t="s">
        <v>1071</v>
      </c>
      <c r="C260" s="7">
        <v>2021</v>
      </c>
      <c r="D260" s="7" t="s">
        <v>1072</v>
      </c>
      <c r="E260" s="7" t="s">
        <v>1073</v>
      </c>
      <c r="F260" s="7" t="s">
        <v>1074</v>
      </c>
      <c r="G260" s="7"/>
      <c r="H260" s="7" t="s">
        <v>232</v>
      </c>
      <c r="I260" s="9" t="s">
        <v>56</v>
      </c>
    </row>
    <row r="261" spans="1:9" ht="15.75" x14ac:dyDescent="0.25">
      <c r="A261" s="7" t="s">
        <v>1075</v>
      </c>
      <c r="B261" s="7" t="s">
        <v>1071</v>
      </c>
      <c r="C261" s="7">
        <v>2021</v>
      </c>
      <c r="D261" s="7" t="s">
        <v>1076</v>
      </c>
      <c r="E261" s="7" t="s">
        <v>1077</v>
      </c>
      <c r="F261" s="7" t="s">
        <v>1078</v>
      </c>
      <c r="G261" s="7" t="s">
        <v>215</v>
      </c>
      <c r="H261" s="7" t="s">
        <v>216</v>
      </c>
      <c r="I261" s="9" t="s">
        <v>56</v>
      </c>
    </row>
    <row r="262" spans="1:9" ht="15.75" x14ac:dyDescent="0.25">
      <c r="A262" s="7" t="s">
        <v>1070</v>
      </c>
      <c r="B262" s="7" t="s">
        <v>1071</v>
      </c>
      <c r="C262" s="7">
        <v>2021</v>
      </c>
      <c r="D262" s="7" t="s">
        <v>1072</v>
      </c>
      <c r="E262" s="7" t="s">
        <v>1073</v>
      </c>
      <c r="F262" s="7" t="s">
        <v>1074</v>
      </c>
      <c r="G262" s="7" t="s">
        <v>232</v>
      </c>
      <c r="H262" s="7" t="s">
        <v>27</v>
      </c>
      <c r="I262" s="9"/>
    </row>
    <row r="263" spans="1:9" ht="15.75" x14ac:dyDescent="0.25">
      <c r="A263" s="7" t="s">
        <v>1079</v>
      </c>
      <c r="B263" s="7" t="s">
        <v>1080</v>
      </c>
      <c r="C263" s="7">
        <v>2024</v>
      </c>
      <c r="D263" s="7" t="s">
        <v>1081</v>
      </c>
      <c r="E263" s="7" t="s">
        <v>1082</v>
      </c>
      <c r="F263" s="7" t="s">
        <v>1083</v>
      </c>
      <c r="G263" s="7" t="s">
        <v>55</v>
      </c>
      <c r="H263" s="7" t="s">
        <v>27</v>
      </c>
      <c r="I263" s="9" t="s">
        <v>56</v>
      </c>
    </row>
    <row r="264" spans="1:9" ht="15.75" x14ac:dyDescent="0.25">
      <c r="A264" s="7" t="s">
        <v>1084</v>
      </c>
      <c r="B264" s="7" t="s">
        <v>1080</v>
      </c>
      <c r="C264" s="7">
        <v>2023</v>
      </c>
      <c r="D264" s="8" t="s">
        <v>1085</v>
      </c>
      <c r="E264" s="7" t="s">
        <v>1086</v>
      </c>
      <c r="F264" s="7" t="s">
        <v>1087</v>
      </c>
      <c r="G264" s="7" t="s">
        <v>266</v>
      </c>
      <c r="H264" s="7" t="s">
        <v>15</v>
      </c>
      <c r="I264" s="9" t="s">
        <v>56</v>
      </c>
    </row>
    <row r="265" spans="1:9" ht="15.75" x14ac:dyDescent="0.25">
      <c r="A265" s="2" t="s">
        <v>1088</v>
      </c>
      <c r="B265" s="2" t="s">
        <v>1080</v>
      </c>
      <c r="C265" s="2">
        <v>2023</v>
      </c>
      <c r="D265" s="2" t="str">
        <f>HYPERLINK("http://dx.doi.org/10.1007/s11042-023-17474-4","http://dx.doi.org/10.1007/s11042-023-17474-4")</f>
        <v>http://dx.doi.org/10.1007/s11042-023-17474-4</v>
      </c>
      <c r="E265" s="2" t="s">
        <v>1089</v>
      </c>
      <c r="F265" s="2" t="s">
        <v>1090</v>
      </c>
      <c r="G265" s="2" t="s">
        <v>1091</v>
      </c>
      <c r="H265" s="2" t="str">
        <f>HYPERLINK("https%3A%2F%2Fwww.webofscience.com%2Fwos%2Fwoscc%2Ffull-record%2F","View Full Record in Web of Science")</f>
        <v>View Full Record in Web of Science</v>
      </c>
      <c r="I265" s="9"/>
    </row>
    <row r="266" spans="1:9" ht="15.75" x14ac:dyDescent="0.25">
      <c r="A266" s="7" t="s">
        <v>1092</v>
      </c>
      <c r="B266" s="7" t="s">
        <v>1093</v>
      </c>
      <c r="C266" s="7">
        <v>2023</v>
      </c>
      <c r="D266" s="7" t="s">
        <v>1094</v>
      </c>
      <c r="E266" s="7" t="s">
        <v>1095</v>
      </c>
      <c r="F266" s="7" t="s">
        <v>1096</v>
      </c>
      <c r="G266" s="7"/>
      <c r="H266" s="7" t="s">
        <v>55</v>
      </c>
      <c r="I266" s="9" t="s">
        <v>56</v>
      </c>
    </row>
    <row r="267" spans="1:9" ht="15.75" x14ac:dyDescent="0.25">
      <c r="A267" s="7" t="s">
        <v>1092</v>
      </c>
      <c r="B267" s="7" t="s">
        <v>1093</v>
      </c>
      <c r="C267" s="7">
        <v>2023</v>
      </c>
      <c r="D267" s="7" t="s">
        <v>1094</v>
      </c>
      <c r="E267" s="7" t="s">
        <v>1095</v>
      </c>
      <c r="F267" s="7" t="s">
        <v>1096</v>
      </c>
      <c r="G267" s="7" t="s">
        <v>55</v>
      </c>
      <c r="H267" s="7" t="s">
        <v>27</v>
      </c>
      <c r="I267" s="9"/>
    </row>
    <row r="268" spans="1:9" ht="15.75" x14ac:dyDescent="0.25">
      <c r="A268" s="7" t="s">
        <v>1097</v>
      </c>
      <c r="B268" s="7" t="s">
        <v>1098</v>
      </c>
      <c r="C268" s="7">
        <v>2025</v>
      </c>
      <c r="D268" s="7" t="s">
        <v>1099</v>
      </c>
      <c r="E268" s="12" t="s">
        <v>1100</v>
      </c>
      <c r="F268" s="7" t="s">
        <v>1101</v>
      </c>
      <c r="G268" s="7"/>
      <c r="H268" s="7" t="s">
        <v>40</v>
      </c>
      <c r="I268" s="9"/>
    </row>
    <row r="269" spans="1:9" ht="15.75" x14ac:dyDescent="0.25">
      <c r="A269" s="7" t="s">
        <v>1102</v>
      </c>
      <c r="B269" s="7" t="s">
        <v>1103</v>
      </c>
      <c r="C269" s="7">
        <v>2019</v>
      </c>
      <c r="D269" s="7" t="s">
        <v>1104</v>
      </c>
      <c r="E269" s="7" t="s">
        <v>1105</v>
      </c>
      <c r="F269" s="7" t="s">
        <v>1106</v>
      </c>
      <c r="G269" s="7" t="s">
        <v>232</v>
      </c>
      <c r="H269" s="7" t="s">
        <v>27</v>
      </c>
      <c r="I269" s="9" t="s">
        <v>56</v>
      </c>
    </row>
    <row r="270" spans="1:9" ht="15.75" x14ac:dyDescent="0.25">
      <c r="A270" s="7" t="s">
        <v>1102</v>
      </c>
      <c r="B270" s="7" t="s">
        <v>1103</v>
      </c>
      <c r="C270" s="7">
        <v>2019</v>
      </c>
      <c r="D270" s="7" t="s">
        <v>1104</v>
      </c>
      <c r="E270" s="7" t="s">
        <v>1105</v>
      </c>
      <c r="F270" s="7" t="s">
        <v>1106</v>
      </c>
      <c r="G270" s="7"/>
      <c r="H270" s="7" t="s">
        <v>232</v>
      </c>
      <c r="I270" s="9" t="s">
        <v>56</v>
      </c>
    </row>
    <row r="271" spans="1:9" ht="15.75" x14ac:dyDescent="0.25">
      <c r="A271" s="2" t="s">
        <v>1107</v>
      </c>
      <c r="B271" s="2" t="s">
        <v>1108</v>
      </c>
      <c r="C271" s="2">
        <v>2019</v>
      </c>
      <c r="D271" s="2" t="str">
        <f>HYPERLINK("http://dx.doi.org/10.1007/978-3-030-23381-5_9","http://dx.doi.org/10.1007/978-3-030-23381-5_9")</f>
        <v>http://dx.doi.org/10.1007/978-3-030-23381-5_9</v>
      </c>
      <c r="E271" s="2" t="s">
        <v>1109</v>
      </c>
      <c r="F271" s="2" t="s">
        <v>1110</v>
      </c>
      <c r="G271" s="2" t="s">
        <v>236</v>
      </c>
      <c r="H271" s="2" t="str">
        <f>HYPERLINK("https%3A%2F%2Fwww.webofscience.com%2Fwos%2Fwoscc%2Ffull-record%2F","View Full Record in Web of Science")</f>
        <v>View Full Record in Web of Science</v>
      </c>
      <c r="I271" s="9"/>
    </row>
    <row r="272" spans="1:9" ht="15.75" x14ac:dyDescent="0.25">
      <c r="A272" s="7" t="s">
        <v>1111</v>
      </c>
      <c r="B272" s="7" t="s">
        <v>1112</v>
      </c>
      <c r="C272" s="7">
        <v>2025</v>
      </c>
      <c r="D272" s="7" t="s">
        <v>1113</v>
      </c>
      <c r="E272" s="12" t="s">
        <v>1114</v>
      </c>
      <c r="F272" s="7" t="s">
        <v>1115</v>
      </c>
      <c r="G272" s="7"/>
      <c r="H272" s="7" t="s">
        <v>40</v>
      </c>
      <c r="I272" s="9"/>
    </row>
    <row r="273" spans="1:9" ht="15.75" x14ac:dyDescent="0.25">
      <c r="A273" s="7" t="s">
        <v>1116</v>
      </c>
      <c r="B273" s="7" t="s">
        <v>1117</v>
      </c>
      <c r="C273" s="7">
        <v>2020</v>
      </c>
      <c r="D273" s="7" t="s">
        <v>1118</v>
      </c>
      <c r="E273" s="7" t="s">
        <v>1119</v>
      </c>
      <c r="F273" s="7" t="s">
        <v>1120</v>
      </c>
      <c r="G273" s="7"/>
      <c r="H273" s="7" t="s">
        <v>40</v>
      </c>
      <c r="I273" s="9"/>
    </row>
  </sheetData>
  <hyperlinks>
    <hyperlink ref="D193" r:id="rId1" xr:uid="{AF956D8C-24B2-4C61-AC01-ACB3059570E3}"/>
    <hyperlink ref="D24" r:id="rId2" xr:uid="{E5270458-7FC7-47D1-B3ED-A32BD6411B37}"/>
    <hyperlink ref="D60" r:id="rId3" xr:uid="{E083ADF1-6AFF-4E08-9F1B-81A59C1027C8}"/>
    <hyperlink ref="D66" r:id="rId4" xr:uid="{EDDBB4E5-744C-4D1A-9DA3-65A9B7A15693}"/>
    <hyperlink ref="D56" r:id="rId5" xr:uid="{962FD7DE-8FE0-4ED4-A350-9D4FFB5F50BE}"/>
    <hyperlink ref="D117" r:id="rId6" xr:uid="{F0693CE3-24F5-4093-868D-8BFF2F7F1F47}"/>
    <hyperlink ref="D82" r:id="rId7"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B6AE9227-610D-40D4-B9C3-7BF251D9C14F}"/>
    <hyperlink ref="D13" r:id="rId8" xr:uid="{86190AD0-BC14-4068-9017-81B90344AF58}"/>
    <hyperlink ref="D2" r:id="rId9" xr:uid="{A7EC120D-5B32-41F2-B87C-5CCF5D39B1D3}"/>
    <hyperlink ref="D105" r:id="rId10" xr:uid="{4F5CE716-3021-42ED-9964-678A75C2A924}"/>
    <hyperlink ref="D201" r:id="rId11" xr:uid="{830E54C7-4C15-4294-94EC-9185275FAC41}"/>
    <hyperlink ref="D104" r:id="rId12" xr:uid="{E5D7732F-A4FF-4851-B13F-E7719F93DC77}"/>
    <hyperlink ref="D264" r:id="rId13" xr:uid="{3716E1A8-8B34-4CC9-AD9F-A5C5C6120C36}"/>
    <hyperlink ref="D54" r:id="rId14" xr:uid="{B399BB4F-DC74-4738-B991-BEA42287A262}"/>
    <hyperlink ref="D32" r:id="rId15" xr:uid="{39748381-301A-429B-AC13-A011D393C296}"/>
    <hyperlink ref="D141" r:id="rId16" display="https://www.researchgate.net/profile/Munawar-Munawar-4/publication/380940676_Framework_for_smart_contract_blockchain_in_halal_traceability_integrity_and_transparency/links/6657244822a7f16b4f55e914/Framework-for-smart-contract-blockchain-in-halal-traceability-integrity-and-transparency.pdf" xr:uid="{81147C58-26BF-4666-B588-C77131949BE3}"/>
    <hyperlink ref="D161" r:id="rId17" xr:uid="{3E26D3AE-1B2C-431F-BF0B-809763191FE4}"/>
    <hyperlink ref="D10" r:id="rId18" xr:uid="{368E8C6C-3948-4419-B6E1-162E9B8D4F7A}"/>
    <hyperlink ref="D178" r:id="rId19" xr:uid="{AB554722-20AA-48E7-A704-C2CF5EF023CA}"/>
    <hyperlink ref="D101" r:id="rId20" xr:uid="{485F9AF4-2FF3-41E7-94E3-683555CD76E6}"/>
    <hyperlink ref="D159" r:id="rId21" xr:uid="{6910BE14-B930-467F-B714-010F9885A15F}"/>
    <hyperlink ref="D107" r:id="rId22" xr:uid="{C8FD2448-81AC-41CC-8C91-DDFAC342B83D}"/>
    <hyperlink ref="D150" r:id="rId23" xr:uid="{D4D809FA-51F8-4E4E-801B-C66D5A079F61}"/>
    <hyperlink ref="D3" r:id="rId24" xr:uid="{1FB13753-7F6B-4D62-B04E-DCC30A75C1F1}"/>
    <hyperlink ref="D21" r:id="rId25" xr:uid="{2DD262C3-20C5-4EB3-8C33-531D3F3E0440}"/>
    <hyperlink ref="D20" r:id="rId26"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B3902F20-425E-46BE-854A-D4A5EC89BCD9}"/>
    <hyperlink ref="D46" r:id="rId27" xr:uid="{FC99EB86-6D87-4002-9627-043E4CFEE40D}"/>
    <hyperlink ref="D188" r:id="rId28" xr:uid="{4E4E64C0-A258-49FC-B815-5E6AD519471E}"/>
    <hyperlink ref="D17" r:id="rId29" display="https://scholar.google.com/scholar?hl=en&amp;as_sdt=0%2C5&amp;q=A+framework+for+IoT+and+blockchain+based+smart+food+chain+management+system+Akhilesh+Kumar+Singh+Zahid+Raza+School+of+Computer+and+Systems+Sciences%2C+Jawaharlal+Nehru+University%2C+New+Delhi%2C+India+Correspondence+Zahid&amp;btnG=" xr:uid="{35A96A50-D16C-4631-9B02-E73FFDA1A308}"/>
    <hyperlink ref="D35" r:id="rId30" xr:uid="{A8C80D5C-A340-42AE-8D3E-BE6E03430674}"/>
    <hyperlink ref="D155" r:id="rId31" xr:uid="{C43463C6-E7D4-435C-AB4B-580D9D423B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Records 272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2025-08-08T07:39:35Z</dcterms:modified>
</cp:coreProperties>
</file>