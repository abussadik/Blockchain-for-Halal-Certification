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PhD Final\My Publication at UTP\Article 4 - SLR Halal\Scientific African\1st Submission\Supplementry Files\"/>
    </mc:Choice>
  </mc:AlternateContent>
  <xr:revisionPtr revIDLastSave="0" documentId="13_ncr:1_{98108699-EC24-4175-8883-943C1A59F80E}" xr6:coauthVersionLast="47" xr6:coauthVersionMax="47" xr10:uidLastSave="{00000000-0000-0000-0000-000000000000}"/>
  <bookViews>
    <workbookView xWindow="-120" yWindow="-120" windowWidth="29040" windowHeight="15720" xr2:uid="{00000000-000D-0000-FFFF-FFFF00000000}"/>
  </bookViews>
  <sheets>
    <sheet name="Records Screened 118"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6" i="1" l="1"/>
  <c r="D106" i="1"/>
  <c r="H104" i="1"/>
  <c r="D104" i="1"/>
  <c r="H102" i="1"/>
  <c r="D102" i="1"/>
  <c r="H101" i="1"/>
  <c r="D101" i="1"/>
  <c r="H100" i="1"/>
  <c r="D100" i="1"/>
  <c r="H86" i="1"/>
  <c r="D86" i="1"/>
  <c r="H83" i="1"/>
  <c r="D83" i="1"/>
  <c r="H74" i="1"/>
  <c r="D74" i="1"/>
  <c r="H58" i="1"/>
  <c r="D58" i="1"/>
  <c r="H36" i="1"/>
  <c r="D36" i="1"/>
  <c r="H33" i="1"/>
  <c r="D33" i="1"/>
  <c r="H9" i="1"/>
  <c r="D9" i="1"/>
  <c r="H5" i="1"/>
  <c r="D5" i="1"/>
</calcChain>
</file>

<file path=xl/sharedStrings.xml><?xml version="1.0" encoding="utf-8"?>
<sst xmlns="http://schemas.openxmlformats.org/spreadsheetml/2006/main" count="779" uniqueCount="608">
  <si>
    <t>Authors</t>
  </si>
  <si>
    <t>Document Title</t>
  </si>
  <si>
    <t>Publication Year</t>
  </si>
  <si>
    <t>DOI Link</t>
  </si>
  <si>
    <t>Abstract</t>
  </si>
  <si>
    <t>Author Keywords</t>
  </si>
  <si>
    <t>Document Type</t>
  </si>
  <si>
    <t>Source</t>
  </si>
  <si>
    <t>Decision1</t>
  </si>
  <si>
    <t>Reason1</t>
  </si>
  <si>
    <t>Ambara Purusottama, Togar M. Simatupang</t>
  </si>
  <si>
    <t>Adoption of blockchain technology in promoting halal compliance</t>
  </si>
  <si>
    <t>https://www.emerald.com/insight/content/doi/10.1108/JIMA-12-2023-0423/full/html?casa_token=5k568bWCKvsAAAAA:nDkf_q6PfG3x2_sRsWDCNd8ku-iFW_UOpbFIN4qeq4FTqKaCz9dfLbwqUZMcmnMZlAO0xVke2EHa6eHlgqNNlbYTL6qPBqGYtA2NO7QFlP5KN5HgV9qauw</t>
  </si>
  <si>
    <t>Purpose
Blockchain technology (BT)-based halal discussions have gained momentum as their significant benefits have become evident. However, explaining the halal compliance of blockchain-based products remains insufficient. This study attempts to confront this deficiency and promote a thorough understanding of halal compliance using BT.
Design/methodology/approach
The research design emphasized the relationship between theoretical and empirical evidence in adopting BT to produce novel knowledge for halal compliance. Furthermore, this study formulated a model resulting from an iterative process between theoretical and empirical evidence, as confirmed by multiple case studies. To produce solid findings, the data were collected using a few approaches involving key actors in halal-specific areas in Indonesia, such as in-depth interviews, direct observations and documentation.
Findings
The study shows that the developed model elucidates the synthesis of BT and halal compliance. BT’s features can facilitate the dimensions of halal compliance and can be applied in multiple cases. The BT features work complementarily, and it was found that some features work dominantly in each dimension for halal compliance, while other features accentuate a minor role. Other findings identified discrepancies among the cases since they had different characteristics.
Originality/value
This study initiates an integrative model combining BT features and halal compliance dimensions, including traceability, integrity and authenticity. The model, along with the study’s implications and contributions, is then explained in detail in this article.</t>
  </si>
  <si>
    <t>Blockchain technology, Blockchain features, Halal compliance, Integrative model,
Multiple case study</t>
  </si>
  <si>
    <t xml:space="preserve">Journal </t>
  </si>
  <si>
    <t>Google Scholar</t>
  </si>
  <si>
    <t>M.S. Meera, Chakrabarti Deepankar, Totakura Bangar Raju, Jahnavi Haldiya</t>
  </si>
  <si>
    <t>Barriers towards blockchain adoption in seafood exports</t>
  </si>
  <si>
    <t>https://www.sciencedirect.com/science/article/pii/S266641272300020X</t>
  </si>
  <si>
    <t>Blockchain is a new technology that is seen to be transforming businesses across various industries. This technology provides transparency under all levels of business and it supports traceability across various supply chains which older technologies could not reach. This research explores various factors affecting the adoption of blockchain technology in seafood towards sustainable supplychain for exports. Based on feedback from seven companies, technique for order performance by similarity to ideal solution is deployed to identify important factors for sustainable supply chain solutions. Regulatory uncertainity emerges as the major factor, which calls for reforms in regulatory compliance. Implementation costs rank second and need to be reduced for better adoption of the technology.</t>
  </si>
  <si>
    <t>Blockchain; Technology adoption; Seafood exports; Small business; Supply chain; Topsis</t>
  </si>
  <si>
    <t>ScienceDirect</t>
  </si>
  <si>
    <t>Sumarliah E.; Li T.; Wang B.; Khan S.U.; Khan S.Z.</t>
  </si>
  <si>
    <t>Blockchain technology adoption in Halal traceability scheme of the food supply chain: evidence from Indonesian firms</t>
  </si>
  <si>
    <t>https://www.scopus.com/inward/record.uri?eid=2-s2.0-85146157790&amp;doi=10.1108%2fIJOEM-05-2021-0678&amp;partnerID=40&amp;md5=723447785e361269e155ace30806d118</t>
  </si>
  <si>
    <t>Purpose: The paper examines the intent to adopt blockchain-facilitated Halal traceability (BFHT) scheme in Indonesian firms' Halal food supply chain (SC). This study integrates Halal-focused attitude, innovation diffusion and institutional theories to construct the model. Design/methodology/approach: Data collection uses a simple random sampling method. Respondents are company leaders with experience and knowledge regarding Halal SC. The SEM-PLS approach was applied to test the hypothetical structure. Findings: 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 Originality/value: This research is among the initial works regarding Halal SCs that integrate Halal-focused attitude, innovation diffusion and institutional theories to recognise firms' intent to adopt a BFHT scheme. © 2022, Emerald Publishing Limited.</t>
  </si>
  <si>
    <t>Blockchain; Halal food; Innovation; Institutional theory; Supply chain; Traceability</t>
  </si>
  <si>
    <t>Article</t>
  </si>
  <si>
    <t>Scopus</t>
  </si>
  <si>
    <t>Ali, MH; Chung, LN; Tan, KH; Makhbul, ZM; Zhan, YZ; Tseng, ML</t>
  </si>
  <si>
    <t>Investigating blockchain technology adoption intention model in halal food small and medium enterprises: moderating role of supply chain integration</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</si>
  <si>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effect on intention. In addition, supply chain integration (SCI) is a moderating factor in diffusing BT.</t>
  </si>
  <si>
    <t>Blockchain; intention to adopt; supply chain integration; halal food industry</t>
  </si>
  <si>
    <t>Rahim N.F.</t>
  </si>
  <si>
    <t>Rapid scoping review of blockchain adoption in halal industry supply chain</t>
  </si>
  <si>
    <t>https://www.scopus.com/inward/record.uri?eid=2-s2.0-85176749641&amp;doi=10.1063%2f5.0166546&amp;partnerID=40&amp;md5=69eafc5ed0c7a9f6ad90128ea4220a30</t>
  </si>
  <si>
    <t>The Halal industry is no longer solely a religious concern; rather, it is a lucrative business with a comprehensive framework to capture billions of Muslim markets worldwide. The development of Industrial Revolution 4.0 (IR 4.0) has made better governance for Halal quality assurance. This includes the Halal supply chain, with the adoption of technology such as blockchain, cloud computing, and artificial intelligence (Ai) in the Halal industry structure. However, the Halal supply chain is tarnished with controversial issues that shocked the Muslim community in Malaysia. As a result, academicians and industry players were brought forward for better traceability in the Halal supply chain and assurance pipeline. This rapid scoping review attempts to grasp the state-of-the-art blockchain adoption in the Halal supply chain. The rapid scoping review systems rely on Arksey and O'Malley's work [1]. The findings suggest that blockchain research and development in the Halal supply chain are still in their infancy. The issues like traceability, capability and company capacity, awareness, the readiness of the companies, and the government support are among the themes that emerge in the data charting. © 2023 AIP Publishing LLC.</t>
  </si>
  <si>
    <t>Conference paper</t>
  </si>
  <si>
    <t>Hasnan N.; Kohda Y.; Saad S.</t>
  </si>
  <si>
    <t>Mapping the Future of Halal Supply Chain Management: A Biblioshiny R Application</t>
  </si>
  <si>
    <t>https://www.scopus.com/inward/record.uri?eid=2-s2.0-85187710342&amp;doi=10.59953%2fpaperasia.v40i1%28b%29.46&amp;partnerID=40&amp;md5=adb988c6cbb9312f84643554551908c3</t>
  </si>
  <si>
    <t>The dynamic changes in the business environment unveil the evolvement of halal literature. Studies on halal encompass various perspectives such as terminologies of halal, halal certification, halal food, halal tourism and halal supply chain management (HSCM). Although HSCM plays a significant role in the success of the halal industry, HSCM literature is relatively developing. Hence, this research aims to analyze HSCM publications and visualize the emergent trend for future publication through a bibliometric analysis. The analysis was carried out on 290 articles in the Scopus database from 2009 to 2022. The data was then beingand processed and analysed using the Biblioshiny R application. The process involved investigating the number of keywords, citations, journals, and mapping themes. It was found that the number of publications in HSCM has progressively increased since 2009 and the Journal of Islamic Marketing has been the prime source in this field. Khan, Mi contributed the most publications whereas Tieman, M was the most influential author with the highest total citation of 593. An in-depth analysis of four quadrants that existed based on the network approach revealed themes such as blockchain, traceability system, halal orientation strategy, and sustainability are relevant and have the potential for the future of HSCM research. This research offers insight for researchers to venture into deeper thoughts and areas in HSCM and be useful for the practitioners in searching for betterment in the halal supply chain. © 2024, SHPMedia Sdn Bhd. All rights reserved.</t>
  </si>
  <si>
    <t>Bibliometric; Biblioshiny R application; Halal; Halal Supply Chain Management (HSCM)</t>
  </si>
  <si>
    <t>Handayani D.I.; Vanany I.; Ciptomulyono U.</t>
  </si>
  <si>
    <t>Blockchain Application in Food Supply Chains: Bibliometric Analysis and Future Research</t>
  </si>
  <si>
    <t>https://www.scopus.com/inward/record.uri?eid=2-s2.0-85153790176&amp;doi=10.18461%2fijfsd.v14i2.F2&amp;partnerID=40&amp;md5=e3a8a35ca1c04ea4a7cff29ea6887c05</t>
  </si>
  <si>
    <t>This study aimed to organize and analyze studies on blockchain application in food supply chains and to discover emerging research themes and topics using cluster analysis to determine future research directions. Bibliometric analysis was used to organize and analyze the literature on blockchain application in food supply chains. The database consisted of 629 Scopus-indexed articles from 2016 to 2021. These were organized using bibliometric analysis (e.g., annual publication trends) and content analysis (e.g., research method applied). Themes and emerging research trends were then clustered based on keywords using the VOSviewer software. The analysis showed that manufacturing is the type of industry that most applies the blockchain. Trust is the most-cited benefit achieved by blockchain application, while traceability is the most-claimed function. Keyword classification resulted in seven main clusters (e.g., sustainability and transparency) and each cluster had emerging research trends (e.g., resilience toward sustainability and transparency). This research provides an overview of scientific development and emerging application trends related to blockchain application in food supply chains. © 2023, International Journal on Food System Dynamics. All Rights Reserved.</t>
  </si>
  <si>
    <t>bibliometric analysis; Blockchain application; food supply chains; halal supply chains; strategic diagram</t>
  </si>
  <si>
    <t>Rejeb, A; Rejeb, K; Abdollahi, A; Zailani, S; Iranmanesh, M; Ghobakhloo, M</t>
  </si>
  <si>
    <t>Digitalization in Food Supply Chains: A Bibliometric Review and Key-Route Main Path Analysis</t>
  </si>
  <si>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</si>
  <si>
    <t>agri-food; food supply chain; blockchain; IoT; big data; sustainability; food security; COVID-19; food safety; digitalization</t>
  </si>
  <si>
    <t>Fernando Y.; Hendayani R.; Jawo M.; Rahamaddulla S.R.; Abdul Aziz K.; Maimunah N.</t>
  </si>
  <si>
    <t>Discovering Islamic marketing potential in shaping blockchain-­based halal logistic services: a bibliometric analysis</t>
  </si>
  <si>
    <t>https://www.scopus.com/inward/record.uri?eid=2-s2.0-85207164112&amp;doi=10.1108%2fJIMA-06-2024-0258&amp;partnerID=40&amp;md5=3d09a2bf10ee9107e130969cc163d42e</t>
  </si>
  <si>
    <t>Purpose: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 © 2024, Emerald Publishing Limited.</t>
  </si>
  <si>
    <t>Blockchain; Customer behaviour; Halal logistics; Islamic marketing; Muslim; SRuBA</t>
  </si>
  <si>
    <t>Review</t>
  </si>
  <si>
    <t>Changalima I.A.</t>
  </si>
  <si>
    <t>Halal supply chain management: A bibliometric analysis of the 100 most-cited publications from Scopus-indexed journals</t>
  </si>
  <si>
    <t>https://www.scopus.com/inward/record.uri?eid=2-s2.0-85211972719&amp;doi=10.1016%2fj.ssaho.2024.101248&amp;partnerID=40&amp;md5=11a1b0d915bf724dd014b5c69cd00160</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</si>
  <si>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 © 2024 The Author(s)</t>
  </si>
  <si>
    <t>Bibliometric analysis; Halal; Halal logistics; Halal SCM; Islam; Supply chain management</t>
  </si>
  <si>
    <t>Mangruwa R.D.; Yunani A.; Nugraha M.F.; Tuzzahra F.; Syadira F.N.; Foon N.H.</t>
  </si>
  <si>
    <t>Mapping Research Blockchain Trends on Halal Supply Chain in Indonesia: A Bibliometric Analysis</t>
  </si>
  <si>
    <t>https://www.scopus.com/inward/record.uri?eid=2-s2.0-105001661050&amp;doi=10.1109%2fICICYTA64807.2024.10913468&amp;partnerID=40&amp;md5=aa3f19db59263d3e8d420a50f87218a2</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</si>
  <si>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  © 2024 IEEE.</t>
  </si>
  <si>
    <t>bibliometric; blockchain; Halal Supply Chain</t>
  </si>
  <si>
    <t>Digdowiseiso K.; Sugiyanto E.; Ria</t>
  </si>
  <si>
    <t>Research on the halal supply chain: A bibliometric analysis</t>
  </si>
  <si>
    <t>https://www.scopus.com/inward/record.uri?eid=2-s2.0-85217154143&amp;doi=10.31893%2fmultirev.2025178&amp;partnerID=40&amp;md5=3702746cd0a87fbab10d7513e27980fd</t>
  </si>
  <si>
    <t>The consumer's character is significant in determining the concept and industry strategy employed. An effective method for evaluating such matters is analyzing identifiable market segments based on trust. Contemporary adherents of Islam are currently undergoing significant progress, as they strongly embrace the concept of halal across various domains of life. Within the industrial realm, implementing the halal concept in the supply chain requires further investigation. Hence, this study aims to perform a bibliometric analysis of twenty years of research on the halal supply chain. The methodology entails bibliometric analysis utilizing network models, overlay, and density analyses. The tools utilized include VOSviewer and Publish or Perish. The research findings indicate that scientific articles were the prevailing type of paper, comprising 98 papers. The most productive journals typically study Islamic law and the halal supply chain. Extensive research was conducted on the halal supply chain in 2020. However, the least studied topics include blockchain technology and sustainability. © 2025, Malque Publishing. All rights reserved.</t>
  </si>
  <si>
    <t>industry strategy; islamic supply; research gap</t>
  </si>
  <si>
    <t>Masudin I.; Rahmatullah B.B.; Agung M.A.; Dewanti I.A.; Restuputri D.P.</t>
  </si>
  <si>
    <t>Traceability System in Halal Procurement: A Bibliometric Review</t>
  </si>
  <si>
    <t>https://www.scopus.com/inward/record.uri?eid=2-s2.0-85144680762&amp;doi=10.3390%2flogistics6040067&amp;partnerID=40&amp;md5=4de094a768c23807a9bbea02c17a5a36</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</si>
  <si>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 © 2022 by the authors.</t>
  </si>
  <si>
    <t>halal; halal logistics; halal suppliers; procurement; traceability</t>
  </si>
  <si>
    <t>Wan-Chik R.Z.; Khairuddin M.M.B.; Rahman N.A.A.</t>
  </si>
  <si>
    <t>Technology Application in Halal Logistics: Transport and Warehouse Perspective</t>
  </si>
  <si>
    <t>https://www.scopus.com/inward/record.uri?eid=2-s2.0-85176868318&amp;doi=10.4324%2f9781003368519-18&amp;partnerID=40&amp;md5=aa4cabab7fa15cd443708c2e2fbeb700</t>
  </si>
  <si>
    <t>Halal logistics is the implementation of the halal concept across the supply chain, from supplier activity to production, warehousing, transportation, and distribution of products, to ensure the integrity of the halal products. This involves the process of managing the products as well as the associated information and certification flow throughout the supply chain from the raw materials to the end user in accordance with halal standards based on Islamic Sharia law. This chapter describes the technology adoption in halal logistics with a specific focus on the area of halal transport and warehouse. The use of technology such as traceability and tracking systems could improve halal service and product quality while also providing transparency and improved control throughout the logistics process. Product identification using RFID, location tracking using GPS, and data management and communication using Internet of Things and blockchain have been identified as critical factors in developing a traceability and tracking system in halal logistics. The findings in this chapter will contribute to the halal logistics and halal supply chain body of knowledge. It may serve as awareness for halal managers on the importance of using technology in implementing halal logistics throughout the supply chain in ensuring the halal integrity. The chapter provides theoretical, practitioner and recommendations for future halal logistics and halal supply chain research. © 2024 selection and editorial matter, Nor Aida Abdul Rahman, Kamran Mahroof and Azizul Hassan; individual chapters, the contributors.</t>
  </si>
  <si>
    <t>Book chapter</t>
  </si>
  <si>
    <t>Mohaiyadin N.M.H.; Zahari H.M.; Mardzuki K.</t>
  </si>
  <si>
    <t>Addressing Challenges in Halal Certification Using Blockchain Technology</t>
  </si>
  <si>
    <t>https://www.scopus.com/inward/record.uri?eid=2-s2.0-85207544097&amp;doi=10.1007%2f978-981-97-1375-2_4&amp;partnerID=40&amp;md5=bf855ed7eb601d39cacfdd276d879e70</t>
  </si>
  <si>
    <t>Recently, there have been increased studies on the use of blockchain technology in many sectors but require further development in the Islamic sector. Discussion on how blockchain technology can fit in to improve the Islamic-based process, mainly for the Halal industry, needs to be extended. This chapter aims to address challenges in Halal certification using blockchain technology. Through the religious institutional theory of Shariah compliance, this chapter provides a frame-work for addressing challenges in Halal certification using blockchain technology. This chapter presents four challenges in Halal certification with blockchain solutions for each. Challenges in Halal certification include unrecognised and centralised Halal certification, information about Halal products, non-compliance, as well as trust and authenticity. Meanwhile, theoretical contributions include two developments: a liter-ature review in the context of Halal certification and the use of religious institutional theory. Practical contributions include the best practices for improving processes using blockchain technology in Halal certification and understanding how to use the blockchain technology advantage to improve the Halal certification process. This chapter can be extended to empirical evidence and uses the combination of religious institutional theory and information system theory. © The Editor(s) (if applicable) and The Author(s), under exclusive license to Springer Nature Singapore Pte Ltd. 2024.</t>
  </si>
  <si>
    <t>Blockchain; Halal certification; Religious institutional theory; Shariah compliance</t>
  </si>
  <si>
    <t>John G. Keogh, Abderahman Rejeb, Nida Khan, Khaldoon Zaid-Kaylani</t>
  </si>
  <si>
    <t>Blockchain: an enabler for safe food in global supply networks</t>
  </si>
  <si>
    <t>https://www.sciencedirect.com/science/article/pii/B9780128194706000081</t>
  </si>
  <si>
    <t>Recurring food safety and food fraud incidents have negatively impacted the food industry's credibility and consumer confidence. As a result, food safety management and food fraud risk have garnered significant attention. Food business operators are aware of the need to respond to consumer concerns regarding product quality and safety and shape consumer attitudes regarding food. In parallel, businesses with local, regional, or global food supply chains (FSCs) are continually evaluating the use of advanced technologies to improve supply chain efficiency and flexibility and reduce risk. In this regard, scholars have examined food safety issues and proposed blockchain technology. Blockchain is a foundational innovation that has the potential to radically transform FSCs and support the efficient management and operations of food industry stakeholders. In this chapter, we aim to expand the academic understanding of the full potential of the technology and the impediments to its adoption in the food industry by providing a comprehensive review and understanding of the literature's most prominent topics. As the chapter's primary sources of information, two blockchain use cases were selected, summarised, and analysed to highlight the practical relevance of adopting the technology in the FSC. The chapter's findings indicate that blockchain can improve FSC traceability, transparency and trust, collaboration and trade, and contributes to food safety management. However, the technology's benefits cannot be realised until technical, organisational, and regulatory issues are resolved.</t>
  </si>
  <si>
    <t>Blockchain; food; supply chains; traceability; transparency; trust; food integrity</t>
  </si>
  <si>
    <t>Raimi L.; Animashaun U.A.</t>
  </si>
  <si>
    <t>Contemporary Discourse on the Farm-to-Fork Concept of the Blue Economy: Exploration for Halal Industry Sustainability</t>
  </si>
  <si>
    <t>https://www.scopus.com/inward/record.uri?eid=2-s2.0-105005053188&amp;doi=10.1007%2f978-981-96-1729-6_16&amp;partnerID=40&amp;md5=e92c19969378df1ba3b8eeb032682ade</t>
  </si>
  <si>
    <t>This chapter explores the integration of the Farm-to-Fork concept within the Blue Economy framework to enhance sustainability in the Halal industry. Utilising the Critical Discourse Analysis (CDA) methodology, which examines how language and discourse shape and reflect social practices, power relations, and ideologies, the insightful results reveal that sustainable aquaculture and fishing practices have a significant impact on food security, economic growth, and compliance with Halal standards in Muslim-majority countries. These practices ensure a stable food supply, improve nutritional quality, stimulate economic growth and attract investment. To achieve these benefits, the chapter proposes a multidimensional framework that aligns sustainable development goals with Islamic guidelines and includes policy development, certification systems, technological innovations for traceability, and robust stakeholder partnerships. Key challenges identified in the Blue Economy farm-to-fork approach include complex supply chains, lack of standardization, technological gaps and fraud risks. Proposed solutions include blockchain technology, uniform certification standards, capacity building and strict regulatory enforcement. Practical implications for policymakers include the development of harmonized regulations that integrate blue economy principles with halal standards. This includes creating comprehensive policies that mandate sustainable practices throughout the supply chain and promoting standards that address environmental sustainability and halal compliance. Industry practitioners are encouraged to use technological solutions such as blockchain for greater transparency and consumer trust and to use digital platforms for better coordination and compliance with standards. Ongoing education and training programs for all stakeholders are essential to raise awareness of halal integrity and sustainable practices. © The Author(s), under exclusive license to Springer Nature Singapore Pte Ltd. 2025.</t>
  </si>
  <si>
    <t>Blue economy; Critical discourse analysis; Farm-to-fork; Halal industry; Sustainability</t>
  </si>
  <si>
    <t>Noorliza K.</t>
  </si>
  <si>
    <t>Halal Blockchain Technology Application: A Consumer Confidence and Competitive Advantage</t>
  </si>
  <si>
    <t>https://www.scopus.com/inward/record.uri?eid=2-s2.0-85133330387&amp;doi=10.1007%2f978-3-030-98160-0_17&amp;partnerID=40&amp;md5=96c8c0bddda64268ad37234604265306</t>
  </si>
  <si>
    <t>This chapter presents information about the halal BCT application and its antecedents and consequences in the halal logistics and supply chains. Later, it provides the hybrid and innovative model of the halal BCT application that makes firms gain more positive impact. © 2022, The Author(s), under exclusive license to Springer Nature Switzerland AG.</t>
  </si>
  <si>
    <t>Competitive advantage; Halal blockchain technology; Halal food industry</t>
  </si>
  <si>
    <t>Rahman N.A.A.; Abdullah M.A.; Hassan A.; Mahroof K.</t>
  </si>
  <si>
    <t>Hard Hit by Halal Meat Cartel Controversy: How Block Chain Technology and Internet of Things (IOT) Could Help</t>
  </si>
  <si>
    <t>https://www.scopus.com/inward/record.uri?eid=2-s2.0-85176821600&amp;doi=10.4324%2f9781003368519-22&amp;partnerID=40&amp;md5=ef6b1f1a135d19a8d4780e432bf0f247</t>
  </si>
  <si>
    <t>This chapter highlight issues on fake halal meat cartel scandal which was first revealed to the public when a local Malaysian newspaper reported that the meat cartel had been smuggling non-halal meat from countries such as China, Brazil, Canada, and Ukraine. In this chapter, by using abductive research approach, this research aims to cover the issue with the help of current technology such as Internet of Things (IOT) and blockchain technology (BCT). At the same time, risk management activities and effort to promote halal food fraud awareness is also vital for halal business sustainability. The relationship across the channel member is also essential. This chapter aims to focus on technological application such as BCT and IOT to enhance value chain transparency. © 2024 selection and editorial matter, Nor Aida Abdul Rahman, Kamran Mahroof and Azizul Hassan; individual chapters, the contributors.</t>
  </si>
  <si>
    <t>Md. Mahfujur Rahman</t>
  </si>
  <si>
    <t>Industry applications of data science and blockchain in Society 5.0</t>
  </si>
  <si>
    <t>https://www.sciencedirect.com/science/article/pii/B9780443334986000017</t>
  </si>
  <si>
    <t>This chapter examines the transformative capability of data science and blockchain technology (BCT) to bring about significant changes within Society 5.0 that prioritize human needs and use advanced technology. This chapter commences with an introduction to Society 5.0, followed by a discussion on notable progress in data science and BCT. It presents difficulties encountered by various industries, including certification, the ability to trace products, and instances of fraudulent activities. This chapter explores the transformative potential of data science and the role of BCT in improving traceability. This chapter also analyzes the incorporation of these technologies within the framework of establishing consumer. Thus, the chapter explores technological trends and their potential to align various industries, including the halal sector, with the goals of Society 5.0. Thus this chapter highlights the significance of data science and blockchain in advancing industries and promoting a more transparent, ethical, and efficient global market.</t>
  </si>
  <si>
    <t>Blockchain; data science; big data; supply chain; traceability; industry; halal</t>
  </si>
  <si>
    <t>Book Chapter</t>
  </si>
  <si>
    <t>Rahman N.A.A.; Mahroof K.; Hassan A.</t>
  </si>
  <si>
    <t>Technologies and Trends in the Halal Industry</t>
  </si>
  <si>
    <t>https://www.scopus.com/inward/record.uri?eid=2-s2.0-85176830534&amp;doi=10.4324%2f9781003368519&amp;partnerID=40&amp;md5=107dee62341c4697684ea4c135d5e46a</t>
  </si>
  <si>
    <t>With recent technological developments, touted also as Industry 4.0, numerous articles published over the years have emphasized the need to investigate the role of technology across all sectors including the halal industry. This book provides a greater understanding of the technologies, trends, and debates associated with the halal industry from different sectors such as food, logistics, pharmaceutical, tourism, medical, cosmetic, and the retail sector. The book adds substantial discussion to the issues and trends of technology applications in the halal industry as well as the theories underpinning halal technology studies. It is in four sections: an overview of the halal industry, selected theories, technology, and recent issues. The contributors explore how technology has evolved and been applied in industry, and also look at how Industry 4.0 technologies like blockchain, Internet of Things (IoT), automation, machine learning, and augmented reality are being integrated in the halal supply chain process. Written by well- regarded scholars and international academics from Africa, Europe, Middle East, and Asia, this book provides expert contributions from research, regulatory, and industry perspectives. This book will interest upper level students, scholars, academics, and practitioners in the various discipline of tourism and travel, hospitality, food studies, marketing, pharmaceutical and medical, logistics, management, Islamic studies and information technology in the halal industry. © 2024 selection and editorial matter, Nor Aida Abdul Rahman, Kamran Mahroof and Azizul Hassan; individual chapters, the contributors.</t>
  </si>
  <si>
    <t>Book</t>
  </si>
  <si>
    <t>Mohi-ud-Din Qadri H.</t>
  </si>
  <si>
    <t>The Global Halal Industry: A Research Companion</t>
  </si>
  <si>
    <t>https://www.scopus.com/inward/record.uri?eid=2-s2.0-85195598467&amp;doi=10.4324%2f9781003441540&amp;partnerID=40&amp;md5=c09cf341e37358abe4a1be6438744f2c</t>
  </si>
  <si>
    <t>The word ‘Halal’ translates to ‘permissible’ in English, though it encapsulates a broader meaning that goes beyond permissibility and impermissibility. Halal incorporates hygiene, cleanliness, legality, compliance, ethics as well as cultural aspects. This book provides a holistic overview of the relevant concepts but also covers Shariah, commercial, regulatory and technological aspects of the global Halal industry. It is not confined to a specific region, country or sector, rather it gives a comprehensive summary of the developments and growth across all sectors of the Halal industry, at the regional but also the global level. It is a well-researched and accessible volume which sets out to demystify some of the more challenging areas and offers an in-depth synopsis of each of the research questions it answers. The book also contributes a series of chapters with specialized treatment. It explores the key Shariah issues and guiding principles of Islamic law, technical know-how within various sectors such as Halal food, tourism, cosmetics, pharma, logistics, supply chain, media &amp; fashion and offers a discussion on Artificial intelligence, quantum technology, and blockchain in different sectors of the Halal industry. Moreover, this work proposes viable solutions to the challenges faced by the industry such as the harmonization of Halal standards. Beneficial to audiences of all levels from beginners to advanced, it will be a handy reference for researchers and advanced students studying Islamic business and economics, Halal management, nutritional sciences, tourism, media, fashion and pharmaceuticals. It will also be of benefit to practitioners, policymakers and legal and standard-setting bodies. © 2024 Hussain Mohi-ud-Din Qadri. All rights reserved.</t>
  </si>
  <si>
    <t>Zahari H.M.; Zain R.M.</t>
  </si>
  <si>
    <t>The Impact of the Theory of Planned Behaviour (TPB) and the Theory of Reasoned Action (TRA) on the Growing Field of Halal Technology</t>
  </si>
  <si>
    <t>https://www.scopus.com/inward/record.uri?eid=2-s2.0-85207573473&amp;doi=10.1007%2f978-981-97-1375-2_6&amp;partnerID=40&amp;md5=4d8538f9ab3d1423cf3f57b29d3d3b20</t>
  </si>
  <si>
    <t>The significant level of consumer interest in Halal products has led to a surge in demand within the Halal sector. The market for Halal products has expanded outside the Muslim community, as non-Muslims are increasingly favouring these products due to their perceived cleanliness and transparent sourcing of raw materials. The observed tendency holds considerable significance within the frameworks of the Theory of Planned Behavior and the Theory of Reasoned Action. Nevertheless, the demand for Halal products has a continuous upward progress, with an increasing number of producers expressing a heightened interest in expanding their product offerings. The utilisation of technology can facilitate the preservation and verification of data, which is crucial in meeting one of the requirements for Halal certification, namely the provision of a clear source. The utilisation of technological advancements such as Blockchain, Internet of Things (IoT), Artificial Intelligence (AI) and RFID has significantly facilitated Halal manufacturers in effectively adapting to evolving consumer demands, while simultaneously upholding the consistent integrity of Halal products and services. © The Editor(s) (if applicable) and The Author(s), under exclusive license to Springer Nature Singapore Pte Ltd. 2024.</t>
  </si>
  <si>
    <t>Artificial Intelligence (AI); Blockchain; Halal technology; Internet of Things (IoT); RFID; Theory of planned behaviour; Theory of reasoned action</t>
  </si>
  <si>
    <t>Nuraslina Zainal Abidin1, Dr. Firdaus Fanny Putera Perdana2</t>
  </si>
  <si>
    <t xml:space="preserve"> A Proposed Conceptual Framework for Blockchain Technology in Halal Food Product 
Verification </t>
  </si>
  <si>
    <t>http://journals.hh-publisher.com/index.php/JHIS/article/view/75</t>
  </si>
  <si>
    <t xml:space="preserve"> Despite rooted from Islamic needs, Halal certification also attracts both Muslims and non-Muslims. In fact, the non-Mus
lim players are the ones dominating the industry. It is widely known that Halal food chain is quite vulnerable due to complications in 
maintaining Halal integrity, the necessity to prevent doubtful materials, lack of control of food norms, and the importance to retain 
high quality. The presence of Halal certification is a form of consumer protection and therefore, the integrity of Halal certification 
must be carefully monitored. There are some Halal violation cases and this can potentially affect the reputation of the Halal food 
products. Therefore, it is important to develop a system that integrates a verifiable, open, and safe shared database that is not run by 
a centralised operator. Blockchain technology is the one that offers such. The study presents a conceptual framework for blockchain 
technology for Halal product verification for manufactured food products. The results are desired to help the food industry players in 
maintaining a system that can improve the transparency and the integrity of their Halal food chain. The system also intends to ensure 
the affordability and accessibility of Halal certification for as many industry players as possible as blockchain technology is believed 
to remove the complications in the certification process and reduce paperwork related cost.</t>
  </si>
  <si>
    <t xml:space="preserve"> blockchain; halal supply chain; halal certification; food verification; halal industry; technology solutions</t>
  </si>
  <si>
    <t>N. N. A. Nizar; S. A. S. Z. Abidin; M. N. Taib</t>
  </si>
  <si>
    <t>Smart Data for Sustainable Halal Supply Chain in Kuala Lumpur: A Proposal</t>
  </si>
  <si>
    <t>https://ieeexplore.ieee.org/stamp/stamp.jsp?arnumber=10087506</t>
  </si>
  <si>
    <t>Malaysiaâ€™s capital, Kuala Lumpur, has long served as the nationâ€™s commercial centre. It is in the centre of the nationâ€™s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t>
  </si>
  <si>
    <t>smart data;halal supply chain;sustainability;traceability;Kuala Lumpur</t>
  </si>
  <si>
    <t>IEEE Conferences</t>
  </si>
  <si>
    <t>IEEE</t>
  </si>
  <si>
    <t>seng, M.-L.,Ha, H. M.,Tran, T. P. T.,Bui, T.-D.,Lim, M. K.,Lin, C.-W.andHelmi Ali, M.</t>
  </si>
  <si>
    <t>Data-driven on sustainable food supply chain: a comparison on Halal and non-Halal food system.</t>
  </si>
  <si>
    <t>https://www.tandfonline.com/doi/abs/10.1080/21681015.2022.2040622</t>
  </si>
  <si>
    <t>This study contributesadata-drivenof sustainable food supply chain with the comparison between Halal and non-Halal food, and suggestion for future studies and practical fulfillments. Although food supply chain is urged to become sustainable, there is a lack of a systematic data-driven describingthe most appropriate indicators to advance both Halal and non-Halal sustainable food supply chain.With an aim of comparing and analyzing up-to-datesustainable food supply chain, a combination of content analysis, fuzzy Delphi method, fuzzy decision-making trial and evaluation laboratory are presented. The results show that the most significant indicators for non-Halalsustainable food supply chainare food consumption, food safety, food security, resilience, food waste management. The most crucial indicators of Halal sustainable food supply chain consist of Halal certification, Halal supply chain trust, Islamic values, Halal food safety. A contemporary sustainable food supply chain is presented and future trends, challenges and opportunities are determined</t>
  </si>
  <si>
    <t>sustainable food supply chain;Halal;data-driven;content analysis; fuzzy decision-making trial and evaluation laboratory</t>
  </si>
  <si>
    <t>Stephen Sim</t>
  </si>
  <si>
    <t>BLOCKCHAIN FOR RESILIENT HALAL FOOD CERTIFICATION DURING THE POST-COVID ERA</t>
  </si>
  <si>
    <t>https://unissa.edu.bn/journal/index.php/jhst/article/download/718/618</t>
  </si>
  <si>
    <t>This study examines the overwhelming effects of the COVID-19 pandemic on the global food industry with a specific focus on the challenges faced by the Muslim community in validating and certifying Halal food. The unprecedented disruptions caused by the pandemic, including border closures and lockdown measures, underscored the urgent need for a sustainable ecosystem to ensure food security and maintain the integrity of Halal standards. This study explores the potential of blockchain technology as a robust and transparent solution for enhancing Halal food validation, certification, and auditing. Moreover, this research examines how blockchain is applied in the Halal sector using eHalal.io as a case study and netnography to understand online communities’ behaviour regarding Halal products. By facilitating secure transactions and instilling trust in the supply chain. Blockchain emerges as a transformative tool that can empower Halal authorities to adapt to the evolving demands of Muslim consumers, especially in the rapidly expanding online realm during crisis and post-pandemic era. Through an in-depth analysis of the benefits and implications of blockchain adoption, this study contributes to the discourse of leveraging technology to navigate the challenges Muslim communities face and establish resilient Halal food certification practices in the wake of and after the COVID-19 pandemic. These findings highlight the potential of blockchain as a catalyst for innovation, efficiency, and sustainability in the Halal food industry, paving the way for a more resilient and inclusive future.</t>
  </si>
  <si>
    <t>Blockchain, consumer behaviour, COVID-19, food security, Halal certification</t>
  </si>
  <si>
    <t>Munawar; Zulfiandri; Mugiyono A.</t>
  </si>
  <si>
    <t>Conceptual design for traceability and transparency in halal self-declared with blockchain</t>
  </si>
  <si>
    <t>https://www.scopus.com/inward/record.uri?eid=2-s2.0-85216689871&amp;doi=10.11591%2feei.v14i2.8634&amp;partnerID=40&amp;md5=9087d16f4a9ccc803ecaa8647792c6a4</t>
  </si>
  <si>
    <t>Halal self-declared is a halal certification procedure for small micro enterprises (SMEs). However, sufficient technology support is required to ensure the halal process’s transparency and traceability. By integrating blockchain-oriented software engineering (BOSE) technology with smart contracts and electronic product code information services (EPCIS), this study aims to deliver a conceptual design for traceability and transparency in halal self-declared. The effectiveness of the blockchain in storing data and disclosing private information to interested parties can be circumvented by utilizing both off-chain and on-chain technology. The effectiveness of blockchain data storage and the ability to disclose sensitive information to interested parties can be advantageous for both on-chain and off-chain applications. © 2025, Institute of Advanced Engineering and Science. All rights reserved.</t>
  </si>
  <si>
    <t>Blockchain; Self-declared; Smart contract; Traceability; Transparency</t>
  </si>
  <si>
    <t>Miftakhurrizal Kurniawan 1,2,*ORCID,Suparno Suparno 2 andIwan Vanany 2ORCID</t>
  </si>
  <si>
    <t xml:space="preserve">Conceptual Framework for Halal Supply Chain Traceability and Food Safety in Indonesia Based on Blockchain Technology and Internet of Things to Support Sustainable Development </t>
  </si>
  <si>
    <t>https://www.mdpi.com/2673-4591/84/1/27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</si>
  <si>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</si>
  <si>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halal supply chain; food safety; traceability; blockchain; internet of things</t>
  </si>
  <si>
    <t>Mardiyah R.; Ismail A.U.; Khairani D.; Durachman Y.; Rosyadi T.; Masruroh S.U.</t>
  </si>
  <si>
    <t>Conceptual Framework on Halal Meat Traceability to Support Indonesian Halal Assurance System (HAS 23000) using Blockchain Technology</t>
  </si>
  <si>
    <t>https://www.scopus.com/inward/record.uri?eid=2-s2.0-85123257039&amp;doi=10.1109%2fCITSM52892.2021.9588953&amp;partnerID=40&amp;md5=cfc4f13e0bcf1121e514e2b5e8536e2d</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</si>
  <si>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 © 2021 IEEE.</t>
  </si>
  <si>
    <t>Blockchain; Halal Assurance; HAS 23000; Traceability</t>
  </si>
  <si>
    <t>Aries Susanty, Nia Budi Puspitasari, Ferry Jie, Fauzan Akbar Akhsan, Sumunar Jati</t>
  </si>
  <si>
    <t>Consumer acceptance of halal food traceability systems: a novel integrated approach using modified UTAUT and DeLone &amp; McLean models to promote sustainable food supply chain practices</t>
  </si>
  <si>
    <t>https://www.sciencedirect.com/science/article/pii/S2772390925000253</t>
  </si>
  <si>
    <t>With the growing demand for sustainable and transparent food supply chains, consumer awareness of Halal integrity is rising, highlighting the need for a Halal food traceability system to enhance consumer confidence by providing detailed production information. However, the factors influencing consumer acceptance of such systems in Indonesia remain unclear. This study addresses three key objectives: (1) assessing consumer intention to use a Halal food traceability system; (2) exploring the relationships between system quality, information quality, service quality, performance expectancy, effort expectancy, social influence, and trust and consumer behavioural intention; and (3) evaluating the effectiveness of an integrated model combining the modified Unified Theory of Acceptance and Use of Technology (UTAUT) and the DeLone &amp; McLean Information System Success Model (D&amp;M IS Success Model) in understanding consumer intention. This study develops and tests three models through an online survey conducted in 2023, targeting individuals aged 17–42 with a significant interest in Halal food products. The results from 255 respondents indicate a strong interest in adopting the system, with performance expectancy, effort expectancy, social influence, and trust identified as key drivers of consumer intention. These findings offer valuable insights for Halal industry managers to enhance traceability and transparency in the food supply chain, promoting more efficient and ethical food production systems. This research could contribute to clean, green, sustainable, and low-carbon logistics and supply chain management by addressing the increased demand for traceability systems, which help track the Halal status of products and promote various sustainability factors, including process efficiency, waste reduction, and carbon footprint minimization.</t>
  </si>
  <si>
    <t>Behavioral intention; D&amp;M IS success model; Halal food traceability system; UTAUT</t>
  </si>
  <si>
    <t>Sunmola, F; Baryannis, G; Tan, A; Co, K; Papadakis, E</t>
  </si>
  <si>
    <t>Holistic Framework for Blockchain-Based Halal Compliance in Supply Chains Enabled by Artificial Intelligence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</si>
  <si>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</si>
  <si>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halal certification; artificial intelligence; blockchain; knowledge graph; machine learning; supply chain</t>
  </si>
  <si>
    <t>I. Vanany; N. A. Rakhmawati; S. Sukoso; J. M. Soon</t>
  </si>
  <si>
    <t>Indonesian Halal Food Integrity: Blockchain Platform</t>
  </si>
  <si>
    <t>https://ieeexplore.ieee.org/stamp/stamp.jsp?arnumber=9297968</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</si>
  <si>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t>
  </si>
  <si>
    <t>Halal Food;Integrity;Supply Chain;Blockchain</t>
  </si>
  <si>
    <t>Ismail S.; Nazarudin N.; Francis F.J.; Muhamad M.Z.</t>
  </si>
  <si>
    <t>Traceability-Technology-Training (3T) Framework for Halal Logistics at Small Medium Enterprises</t>
  </si>
  <si>
    <t>https://www.scopus.com/inward/record.uri?eid=2-s2.0-85122919972&amp;doi=10.1109%2fICRIIS53035.2021.9617030&amp;partnerID=40&amp;md5=9316d2d7ce6b13adf2665c27e2bb09ea</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</si>
  <si>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 © 2021 IEEE.</t>
  </si>
  <si>
    <t>blockchain technology; fourth industry revolution (4IR); halal logistics; halal traceability; small and medium enterprises; supply chain management</t>
  </si>
  <si>
    <t>Handayani, DI; Vanany, I</t>
  </si>
  <si>
    <t>Blockchain Application in Halal Supply Chain: Literature Review and Future Research</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</si>
  <si>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</si>
  <si>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 supply chain; halal supply chain</t>
  </si>
  <si>
    <t>Proceedings Paper</t>
  </si>
  <si>
    <t>Zulihuma K.; Shibghatullah A.S.B.</t>
  </si>
  <si>
    <t>Blockchain Technology for Halal Supply Chain Management</t>
  </si>
  <si>
    <t>https://www.scopus.com/inward/record.uri?eid=2-s2.0-85125134717&amp;partnerID=40&amp;md5=ed5d3f34714514e2eddf7596aaf9e0a4</t>
  </si>
  <si>
    <t>Blockchain technology (BT) is a distributed and decentralized database that store transaction information in a network. Due to providing better visibility and transparency, this technology has gained a considerable attention in the recent years. This research is carried out with the purpose of exploring the potential of blockchain technology to increase supply chain integrity in halal food industry. Therefore, a literature on BT and its adoption in the halal supply chain is given and a model is developed to identify the influence of BT on halal supply chain. Three features of smart contract including traceability, decentralized, and anonymity are added to the model as moderators to explore their influence on integrity of halal supply chain. © The 2022 International Conference on Artificial Life and Robotics (ICAROB2022).</t>
  </si>
  <si>
    <t>Blockchain Technology; Halal Supply Chain; Supply Chain Integrity</t>
  </si>
  <si>
    <t>Heikal M.; Rachman A.; Muizzudin; Falahuddin</t>
  </si>
  <si>
    <t>Digitalization of Halal Food Supply Chain Management Based on Blockchain Technology</t>
  </si>
  <si>
    <t>https://www.scopus.com/inward/record.uri?eid=2-s2.0-85206108073&amp;doi=10.1007%2f978-981-97-5400-7_7&amp;partnerID=40&amp;md5=e7abde072f8d7c32be6837beee6b4a86</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</si>
  <si>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 © The Author(s), under exclusive license to Springer Nature Singapore Pte Ltd. 2024.</t>
  </si>
  <si>
    <t>Blockchain; Chain; Digitalization; Halal; Technology</t>
  </si>
  <si>
    <t>Sugandh Arora, Sumit Oberoi, Tawheed Nabi, Balraj Verma,</t>
  </si>
  <si>
    <t>How does blockchain impact sustainable food security? Insights from literature review</t>
  </si>
  <si>
    <t>https://www.sciencedirect.com/science/article/pii/S266709682400065X</t>
  </si>
  <si>
    <t>Blockchain technology can enhance sustainable food security because of its distinct characteristics such as traceability, decentralized and unchangeable databases, and smart contract protocols. Nevertheless, blockchain technology in agricultural applications is still in the early stages of development. Therefore, this study aims to ascertain the efficiency and cognitive framework of blockchain technology for attaining long-term food security. This study used a review-based approach to ascertain the intellectual framework. A literature search was conducted using the "Scopus" database to locate research articles published between 2017 and 2023. A “systematic literature review” was performed using the PRISMA framework on the 52 eligible publications. The study results indicated that traceability, real-time information availability, and immutably distributed databases were the most influential factors. The results showed that blockchain technology has benefits beyond facilitating reliable data dissemination and establishing intimate bonds between manufacturers and clients. Furthermore, blockchain technology may pave the way for less food waste, improved supply chains and agricultural working environments, and more environmentally responsible eating practices. This study is the first of its kind to assess the intellectual structure of food security and augment the cognition of the in-depth examination of the benefits of blockchain technology that might ultimately provide a way to achieve zero-hunger goals.</t>
  </si>
  <si>
    <t>Food security; Disruptive; Supply chain; Blockchain; Sustainability; Systematic literature review (SLR)</t>
  </si>
  <si>
    <t>Miftakhurrizal Kurniawan1,2,1, Suparno Suparno2, and Iwan Vanany2</t>
  </si>
  <si>
    <t>Implementation blockchain technology and the internet of things in halal supply chain traceability and food safety: A systematic literature review</t>
  </si>
  <si>
    <t>https://prosiding.umy.ac.id/ictced/index.php/ictced/article/view/75</t>
  </si>
  <si>
    <t>Many  people  currently  need  help  guaranteeing  food  products. Halal assurance and food safety are examples of the issues addressed. Many cases occur in the food world, such as poisoning, product contamination, and non-halal  products   for  Muslims,   giving   riseto  traceability   activities. Blockchain technology and the internet of things are one way to solve the problem of halal supply chain traceability and food safety. With abundant literature in recent years, blockchain and the internet of things havebecome significant concerns for researchers worldwide. The author tries to show the structure,  scope,  research  trends,  and  influence  of  blockchain  and  the internet  of  things  in  halal  supply  chain  traceability  and  food  safety  by analyzing existing studies.The study finds that researchers primarily focus on  the  possibility  of  blockchain  and  the  internet  of  things  becoming dominant  technologies  in  increasing  trust  among  stakeholders  in  the  food supply chain</t>
  </si>
  <si>
    <t>Conference</t>
  </si>
  <si>
    <t>Abderahman Rejeb a
, 
Karim Rejeb b
, 
Suhaiza Zailani c
, 
Horst Treiblmaier d
, 
Karen J. Hand e</t>
  </si>
  <si>
    <t>Integrating the Internet of Things in the halal food supply chain: A systematic literature review and research agenda</t>
  </si>
  <si>
    <t>https://www.sciencedirect.com/science/article/pii/S2542660521000056</t>
  </si>
  <si>
    <t>To address consumers’ concerns regarding food integrity, halal food businesses need to rethink their conventional supply chains and leverage new technologies. The emergence and proliferation of the Internet of Things (IoT) - the use of interconnected devices, sensors, and technologies to orchestrate, monitor, and optimize supply chain processes - holds innovative potentials for the halal food supply chain (HFSC). Despite the growing popularity in supply chain management and logistics, the potentials and challenges of IoT in the HFSC remain – unexplored and further research is required . Therefore, the goal of this paper is to address this knowledge gap and review IoT research within the context of HFSCs. To begin, over seventy-three (73) papers were analyzed using both bibliometric techniques and in-depth content analysis. The results reveal that IoT offers five major benefits for the HFSC; namely, traceability of products, enhancement of supply chain efficiencies, facilitation of livestock management, authentication of foods’ halal status, and monitoring of halal certifications. Several challenges were identified, including the technical limitations of IoT devices, technological immaturity, lack of user acceptance, and cost and regulatory barriers. The study's findings provide deeper insight into the current state of IoT research in the halal food literature, its development, challenges and future research avenues for scholars, policy makers and the HFSC community.</t>
  </si>
  <si>
    <t>Halal food Supply chain Internet of Things Opportunities Challenges</t>
  </si>
  <si>
    <t>Md Mahfujur Rahman, Md Rabiul Awal</t>
  </si>
  <si>
    <t>6G-Enabled smart Halal industry: enhancing compliance sustainability and efficiency</t>
  </si>
  <si>
    <t>https://www.sciencedirect.com/science/article/pii/B9780443274343000234</t>
  </si>
  <si>
    <t>The Halal industry is at the forefront of a technological revolution with the integration of sixth-generation (6G) technology. As global demand for Halal-certified products escalates, ensuring compliance, sustainability, and efficiency across complex supply chains (SCs) becomes increasingly critical. This chapter explores how 6G technology can transform the Halal industry by enabling real-time monitoring, enhancing SC communication, and providing advanced data analytics. The integration of 6G with Internet of Things, artificial intelligence, and digital twins promises to deliver unprecedented levels of automation in compliance processes, reduce waste, optimize energy usage, and ensure transparency from production to the point of sale. The chapter also highlights the opportunities and challenges in implementing 6G within the Halal industry, aiming to support a more sustainable and efficient future for Halal production.</t>
  </si>
  <si>
    <t>artificial intelligence; compliance process</t>
  </si>
  <si>
    <t>Ahmad A.N.; Ahmad I.A.-Z.; Hashim Y.Z.H.-Y.; Samsudin N.; Zulfigar S.B.</t>
  </si>
  <si>
    <t>How Can Halal Food Manufacturers Benefit from IR 4.0 Technology?</t>
  </si>
  <si>
    <t>https://www.scopus.com/inward/record.uri?eid=2-s2.0-85176851621&amp;doi=10.4324%2f9781003368519-11&amp;partnerID=40&amp;md5=6db2c52354e6e9f30f74a1130dad67b7</t>
  </si>
  <si>
    <t>Global economies are constantly changing due to urbanization, demographics, consumer demand, business environment, legislation, and technological advancement. As part of the larger global market, the halal food sector must be more proactive in creating and capturing value to stay resilient amidst rapid changes. One of the ways forward for food producers is to adopt the latest technologies. The technologies are important tools for not only increasing productivity but also for ensuring food safety, sustainable practices, and the integrity of halal products. This chapter discusses the applications of IR4.0 core technologies such as blockchain, Internet of Things (IoT), automation and robotics, robotic + AI/machine learning, digital twin, and augmented reality (AR) that could benefit manufacturers in ensuring the productivity, food safety, sustainability, and integrity of halal food products. © 2024 selection and editorial matter, Nor Aida Abdul Rahman, Kamran Mahroof and Azizul Hassan; individual chapters, the contributors.</t>
  </si>
  <si>
    <t>Ghulam Qader, Muhammad Junaid, Qamar Abbas, Muhammad Shujaat Mubarik</t>
  </si>
  <si>
    <t>Industry 4.0 enables supply chain resilience and supply chain performance</t>
  </si>
  <si>
    <t>https://www.sciencedirect.com/science/article/pii/S0040162522005479</t>
  </si>
  <si>
    <t>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Cross-sectional data was collected from 458 respondents working in food, beverage, and pharmaceutical companies using a close-ended questionnaire. The study employed partial least square structural equation modeling (PLS-SEM) to analyze the hypothesized relationships. The findings confirmed a significant and substantial impact of Industry4.0 on SC performance. Similarly, findings also depicted a significant mediating role of SCRes between Industry 4.0 and SCP. Furthermore, results also found a significant moderating role of SCV in a way that it reinforced the impact of Industry 4.0 on SCRes. This study provides an understanding of Industry 4.0 applications and their role between SCRes and SCV. The results of the study suggest the adoption of Industry 4.0 technologies uplifts SC resilience and SC performance thereon.</t>
  </si>
  <si>
    <t>Industry 4.0; IoT; Machine learning; Supply chain resilience; Supply chain visibility; Supply chain performance</t>
  </si>
  <si>
    <t>Sachin Yele, Ratnesh Litoriya</t>
  </si>
  <si>
    <t>Blockchain-based secure dining: Enhancing safety, transparency, and traceability in food consumption environment</t>
  </si>
  <si>
    <t>https://www.sciencedirect.com/science/article/pii/S2096720923000623</t>
  </si>
  <si>
    <t>This research paper seeks to examine the possibilities of blockchain technology. For use in the field of restaurant food tracking and safety. Public health risks and economic costs are at stake when foodborne illness outbreaks occur, making food safety a top priority in the food industry. It can be difficult to quickly identify and address possible concerns about using traditional food traceability systems due to inefficiencies, data discrepancies, and a lack of transparency. In this study, we introduce a novel blockchain-based system developed especially for the purpose of tracking restaurant food. Blockchain decentralised consensus, immutability, and smart contracts are put to use in this system to provide trustworthy and transparent traceable infrastructure. Real-time monitoring and data collection along the food supply chain become possible when the blockchain architecture is combined with the Internet of Things (IoT) devices and RFID technology. We show that our proposed blockchain-based traceability solution is practical and efficient through a thorough assessment and validation procedure. The outcomes show that the system not only improves data quality and reliability but also drastically decreases the time and resources needed for food traceability. In addition, patrons are more likely to return to eateries that place a premium on food safety when they are given more information about the establishment’s practises. Additionally, we discuss scalability, data privacy, and interoperability concerns that may arise in future implementations and provide some initial ideas for overcoming these issues.</t>
  </si>
  <si>
    <t>Blockchain; Smart contracts; Cryptography; Food chain; Traceability</t>
  </si>
  <si>
    <t>Abbas Keramati, Bethany Siau, Tyler Bellitto, Jafar Heydari, Tanya Panchal</t>
  </si>
  <si>
    <t>Blockchains effects on responsiveness to recalls in the food and beverage industry</t>
  </si>
  <si>
    <t>https://www.sciencedirect.com/science/article/pii/S2949948825000101</t>
  </si>
  <si>
    <t>Blockchain technology, by revolutionizing the way businesses use data, is shifting the cost-responsiveness frontier. While the most popular application of blockchain is cryptocurrency, nowadays it is touching many other businesses including the food and beverage industry. This paper is a short survey in assessing the usefulness of blockchain technology in the food and beverage supply chain, with a narrow focus on the impact on the product recalls. While recalls are crucial in the food and beverage industry, as they deal with public health, they happen frequently and therefore an efficient and responsive recall process is essential. This paper investigates whether US companies utilizing blockchain technology experience shorter recall durations. Data from Food and Drug Administration (FDA) recall datasets, specifically targeting companies implementing blockchain technology, are analyzed using statistical analysis methods. The results reveal that companies adopting blockchain technology have significantly shorter recall times, demonstrating their usefulness in food and beverage recalls, along with its other advantages. This study highlights the potential of blockchain in improving recall management within the food and drink industry and provides applicable insights for food and beverage supply chain managers.</t>
  </si>
  <si>
    <t>Blockchain; Food and beverages industry; Analysis of variance; Recall duration</t>
  </si>
  <si>
    <t>Azizah S.N.</t>
  </si>
  <si>
    <t>Online Traceability of Halal Food Information to Protect Muslim Consumers in the Cyber Era</t>
  </si>
  <si>
    <t>https://www.scopus.com/inward/record.uri?eid=2-s2.0-85131443844&amp;doi=10.5281%2fzenodo.4766544&amp;partnerID=40&amp;md5=8addaef1c209cded0a0f595826798722</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</si>
  <si>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 © 2020. International Journal of Cyber Criminology</t>
  </si>
  <si>
    <t>Blockchain; Consumer intention; Halal awareness; Halal traceability</t>
  </si>
  <si>
    <t>Hew J.-J.; Wong L.-W.; Tan G.W.-H.; Ooi K.-B.; Lin B.</t>
  </si>
  <si>
    <t>The blockchain-based Halal traceability systems: a hype or reality?</t>
  </si>
  <si>
    <t>https://www.scopus.com/inward/record.uri?eid=2-s2.0-85086110094&amp;doi=10.1108%2fSCM-01-2020-0044&amp;partnerID=40&amp;md5=33fc26c028b30dfec3d7eb94b0445b11</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</si>
  <si>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 © 2020, Emerald Publishing Limited.</t>
  </si>
  <si>
    <t>Blockchain; Diffusion of innovation theory; Food industry; Food security; Food traceability systems; Halal orientation strategy; Innovation; Institutional theory; Supply-chain management</t>
  </si>
  <si>
    <t>A.S. Patel, M.N. Brahmbhatt, A.R. Bariya, J.B. Nayak, V.K. Singh</t>
  </si>
  <si>
    <t>Blockchain technology in food safety and traceability concern to livestock products</t>
  </si>
  <si>
    <t>https://www.sciencedirect.com/science/article/pii/S2405844023037337</t>
  </si>
  <si>
    <t>Livestock products share more than fifteen percent of total agri-foods traded worldwide. A global increase in food demand has increased the risk to food safety. Improvements in food quality, cold chain transit, and preservation are required for safe livestock products. Though, the food safety and regulation authorities demand complete food traceability from farm to fork, but in traditional supply chain it is ignored by fiddling with the transit paperwork and bill invoices. The process of supply chain reformation and activities linked to food recalls during food safety issues are insanely expensive and challenging. Traceability-driven food supply chain management is likely to implement novel technologies like the Internet of Things (IoT). The capability of the Blockchain era within the food sector is emerging with use cases across different regions, as shown via the growing number of studies. Credibility, efficiency, and safety are all improved when food products can be instantly traced from their point of origin through all points of contact on their way to the consumer. Blockchain assures a tamper-proof and transparent system that allows an innovative business solution, together with smart contracts. However, there are significant difficulties with the implementation of blockchain technology for food traceability. It necessitates more and more training platforms as well as trainers, who can make understanding and operability of this technology easy among ground-level participants and food entities. For the tactical application of this technology, it is essential to comprehend the legal and regulatory framework.</t>
  </si>
  <si>
    <t>Food traceability; Blockchain technology; Food supply chain; Livestock products</t>
  </si>
  <si>
    <t>Ratih Hendayani</t>
  </si>
  <si>
    <t>Halal Supply Chain Growth</t>
  </si>
  <si>
    <t>https://www.sciencedirect.com/science/article/pii/B978044313701300102X</t>
  </si>
  <si>
    <t>The increasing awareness of the global community regarding halal products encourages global companies, especially those already involved in the production of halal products, to better understand and implement sharia logistics and supply chain processes referring to halal certification determined by certification bodies in each country. It is not only the logistics distribution process that must always be monitored, but also all processes in the supply chain to meet halal requirements. This means that companies must be able to invite other supply chain actors involved, such as suppliers, distributors and retailers, to jointly comply and commit to running a halal supply chain. To facilitate integration and collaboration among halal supply chain actors to remain committed, technology is needed as a support system.</t>
  </si>
  <si>
    <t>Halal logistic; Halal supply chain; Information system; Supply chain stage commitment</t>
  </si>
  <si>
    <t>Marco Tieman, Mohd Ridzuan Darun</t>
  </si>
  <si>
    <t>Leveraging Blockchain Technology for Halal Supply Chains</t>
  </si>
  <si>
    <t>https://www.icrjournal.org/index.php/icr/article/view/167</t>
  </si>
  <si>
    <t>Halal supply chains are vulnerable due to their credence quality attributes, importance of maintaining halal integrity throughout the supply chain, need to avoid doubt, lack of control of food norms, and sensitivity of the Muslim consumer towards halal. These vulnerabilities make halal supply chains complex to design, manage, and optimise. Transparency of halal supply chains is needed in order to ensure trust and authenticity of a halal brand. The principle of a shared database that is safe, open and verifiable without a central operator is an attractive proposition to embed trust and authenticity for halal food, cosmetics, home care, and pharmaceuticals.</t>
  </si>
  <si>
    <t>Rejeb A.; Keogh J.G.; Zailani S.; Treiblmaier H.; Rejeb K.</t>
  </si>
  <si>
    <t>Blockchain Technology in the Food Industry: A Review of Potentials, Challenges and Future Research Directions</t>
  </si>
  <si>
    <t>https://www.scopus.com/inward/record.uri?eid=2-s2.0-85101303045&amp;doi=10.3390%2flogistics4040027&amp;partnerID=40&amp;md5=75afc20ab66bb0f38392c2e154a1ab99</t>
  </si>
  <si>
    <t>Blockchain technology has emerged as a promising technology with far-reaching implications for the food industry. The combination of immutability, enhanced visibility, transparency and data integrity provides numerous benefits that improve trust in extended food supply chains (FSCs). Blockchain can enhance traceability, enable more efficient recall and aids in risk reduction of counterfeits and other forms of illicit trade. Moreover, blockchain can enhance the integrity of credence claims such as sustainably sourced, organic or faith-based claims such as kosher or halal by integrating the authoritative source of the claim (e.g., the certification body or certification owner) into the blockchain to verify the claim integrity and reassure business customers and end consumers. Despite the promises and market hype, a comprehensive overview of the potential benefits and challenges of blockchain in FSCs is still missing. To bridge this knowledge gap, we present the findings from a systematic review and bibliometric analysis of sixty-one (61) journal articles and synthesize existing research. The main benefits of blockchain technology in FCSs are improved food traceability, enhanced collaboration, operational efficiencies and streamlined food trading processes. Potential challenges include technical, organizational and regulatory issues. We discuss the theoretical and practical implications of our research and present several ideas for future research. © 2020 by the authors.</t>
  </si>
  <si>
    <t>bibliometric analysis; blockchain technology; challenges; food supply chain; potentials; systematic literature review</t>
  </si>
  <si>
    <t>Maidin S.S.; Yahya N.; Othman M.; Suliman A.; Nghiem T.-L.; Thu T.N.T.</t>
  </si>
  <si>
    <t>Governing the Halal Supply Chain using Blockchain Technology in Malaysia</t>
  </si>
  <si>
    <t>https://www.scopus.com/inward/record.uri?eid=2-s2.0-85147004972&amp;doi=10.1109%2fICDI57181.2022.10007176&amp;partnerID=40&amp;md5=a216771dc397d9404c2c2c83fd76e578</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</si>
  <si>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  © 2022 IEEE.</t>
  </si>
  <si>
    <t>blockchain; governance; halal; traceability; transparency</t>
  </si>
  <si>
    <t>Bux C.; Varese E.; Amicarelli V.; Lombardi M.</t>
  </si>
  <si>
    <t>Halal Food Sustainability between Certification and Blockchain: A Review</t>
  </si>
  <si>
    <t>https://www.scopus.com/inward/record.uri?eid=2-s2.0-85124836444&amp;doi=10.3390%2fsu14042152&amp;partnerID=40&amp;md5=a981468e7b89c7ee6abd20e4c10b4467</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</si>
  <si>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 © 2022 by the authors. Licensee MDPI, Basel, Switzerland.</t>
  </si>
  <si>
    <t>Blockchain; Certification; Food safety; Halal food products; Integrative literature review; PRISMA model; Sustainability</t>
  </si>
  <si>
    <t>Ardiantono D.S.; Ardyansyah G.D.; Sugihartanto M.F.; Al Mustofa M.U.; Lisdiantini N.</t>
  </si>
  <si>
    <t>Mapping the barrier and strategic solutions of halal supply chain implementation in small and medium enterprises</t>
  </si>
  <si>
    <t>https://www.scopus.com/inward/record.uri?eid=2-s2.0-85193601150&amp;doi=10.1108%2fJIMA-08-2022-0229&amp;partnerID=40&amp;md5=c88a64cbcae24b0551ce0d3206103906</t>
  </si>
  <si>
    <t>Purpose: This study aims to identify the challenges, promote respective solutions and construct strategies for the implementation of the halal supply chain in Indonesia’s small and medium-sized enterprises (SMEs). Design/methodology/approach: This research used the analytic network process in nine respondents categorised into three groups of relevant stakeholders: government, academia and industry. Findings: 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 Practical implications: 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 Originality/value: To the best of the authors’ knowledge, this research is the first attempt of comprehensively mapping the barriers and developing strategic solutions to implement the halal supply chain by Indonesia’s SMEs. © 2024, Emerald Publishing Limited.</t>
  </si>
  <si>
    <t>Analytical network process; Halal industry; Small and medium-sized enterprises; Supply chain management</t>
  </si>
  <si>
    <t>Shuib A.; Ibrahim I.; Yusoff F.H.</t>
  </si>
  <si>
    <t>Traceability System of Halal Chicken Supply Chain</t>
  </si>
  <si>
    <t>https://www.scopus.com/inward/record.uri?eid=2-s2.0-85114630117&amp;doi=10.1109%2fICSGRC53186.2021.9515246&amp;partnerID=40&amp;md5=fa961385bcab40a23f8426abf686dd5f</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</si>
  <si>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  © 2021 IEEE.</t>
  </si>
  <si>
    <t>blockchain technology; broiler; Halal chicken meat supply chain; Halal meat supply chain; Halal traceability system; IoT; QR code; RFID</t>
  </si>
  <si>
    <t>Musadik S.H.S.A.</t>
  </si>
  <si>
    <t>Technology Application in Halal Food Manufacturing in Malaysia</t>
  </si>
  <si>
    <t>https://www.scopus.com/inward/record.uri?eid=2-s2.0-85207564398&amp;doi=10.1007%2f978-981-97-1375-2_12&amp;partnerID=40&amp;md5=60714bad19457d3b82ae7a002d124566</t>
  </si>
  <si>
    <t>The size of halal food and beverage products is predicted to continue expanding extensively as the Muslim population continues to grow, particularly in areas such as the Middle East, Southeast Asia, and parts of Africa. In addition, the immense interest in halal products among non-Muslim consumers also sparks the expansion of halal product demand and production. Some non-Muslim consumers believe that halal products are related to healthy and quality products and perceive that the production of halal products complies with quality assurance and government legislation. Hence, to tap into this growing market, halal food and beverage manufac-turers in Malaysia are striving to improve their production by applying technology as an additional tool. For the time being, RFID technology stands out as the most advanced technology tools for monitoring and verifying halal items, particularly for authentication purposes. Halal Food manufacturer in Malaysia is still in infants’ stage to apply the other advance technology application such as blockchain technology. © The Editor(s) (if applicable) and The Author(s), under exclusive license to Springer Nature Singapore Pte Ltd. 2024.</t>
  </si>
  <si>
    <t>Food manufacturing; Food safety; Halal food; Halal industry; Technology</t>
  </si>
  <si>
    <t>Nawaz, A; Afzal, A; Khatibi, A; Shankar, A; Madan, H; Faisal, HS; Shahbaz, A; Usman, I; Zulfiqar, N; Saeed, F; Ahmed, A; Imran, A; Afzaal, M; Karni, A; Ahmed, F; Akram, N; Rasheed, M; Islam, F</t>
  </si>
  <si>
    <t>Role of artificial intelligence in halal authentication and traceability: A concurrent review</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</si>
  <si>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</si>
  <si>
    <t>Halal food; AI technologies; Applications; Quality control; Supply chain</t>
  </si>
  <si>
    <t>Priyanka Bothra, Raja Karmakar, Sanjukta Bhattacharya, Sayantani De</t>
  </si>
  <si>
    <t>How can applications of blockchain and artificial intelligence improve performance of Internet of Things? – A survey</t>
  </si>
  <si>
    <t>https://www.sciencedirect.com/science/article/pii/S1389128623000798</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</si>
  <si>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</si>
  <si>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Internet of things; Blockchain; Artificial intelligence</t>
  </si>
  <si>
    <t>Ariffin M.F.M.; Hamid M.F.A.</t>
  </si>
  <si>
    <t>Negotiating Halal Crimes: The Use Of Block-Chain Technology</t>
  </si>
  <si>
    <t>https://www.scopus.com/inward/record.uri?eid=2-s2.0-85114418195&amp;partnerID=40&amp;md5=2a7ff7dcf4aa9c4c66ec2d6dfb550f8e</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</si>
  <si>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 © 2021, Global Journal Al-Thaqafah. All rights reserved.</t>
  </si>
  <si>
    <t>Blockchain; Data Networking; Digital Revolution; Halal Supply Chain; Technology</t>
  </si>
  <si>
    <t>Katuk N.</t>
  </si>
  <si>
    <t>The application of blockchain for halal product assurance: a systematic review of the current developments and future directions</t>
  </si>
  <si>
    <t>https://www.scopus.com/inward/record.uri?eid=2-s2.0-85076470313&amp;doi=10.30534%2fijatcse%2f2019%2f13852019&amp;partnerID=40&amp;md5=c983a86d5d03c21246b6766031f26641</t>
  </si>
  <si>
    <t>The demand for halal product assurance has increased recently at the global level due to the increase in users’ awareness as well as the Muslim population. Consequently, the demand for halal certification service by the product manufacturers is also increased. However, the conventional halal certification model is unable to support the increasing demand for certification services in which it does not support the halal industry efficiently that makes the certification process costly. Technological support, particularly blockchain, can facilitate and simplify the halal certification process, which leads to an automated and more efficient process. Blockchain for halal product assurance is considered a new multidisciplinary field; hence, there is a need to gather and synthesize the current information about the field of study in a thorough and unbiased manner so that a more general conclusion can be drawn as well as providing preliminary information to encourage further research in the field. Therefore, a systematic review was conducted to identify, evaluate, and interpret research and developments relevant to the implementation of blockchain technology for halal product assurance. The result is expected to cultivate new studies that can improve the entire process for halal product assurance. © 2019, World Academy of Research in Science and Engineering. All rights reserved.</t>
  </si>
  <si>
    <t>Block-chain; Decentralized networks; Distributed computer systems; Peer-to-peer networks</t>
  </si>
  <si>
    <t>Harsanto B.; Farras J.I.; Firmansyah E.A.; Pradana M.; Apriliadi A.</t>
  </si>
  <si>
    <t>Digital Technology 4.0 on Halal Supply Chain: A Systematic Review</t>
  </si>
  <si>
    <t>https://www.scopus.com/inward/record.uri?eid=2-s2.0-85188936994&amp;doi=10.3390%2flogistics8010021&amp;partnerID=40&amp;md5=92b8d73d89bcfcfd1919ed964600880d</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</si>
  <si>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 © 2024 by the authors.</t>
  </si>
  <si>
    <t>halal industry; halal logistics; halal production; halal supply chain; halal supply chain management; halal value chain; HSCM; innovative digital technology 4.0; systematic review; technology</t>
  </si>
  <si>
    <t>B. Waspodo; N. A. Rakhmawati</t>
  </si>
  <si>
    <t>Halal Blockchain Digital Strategy using Peppard And Ward Strategic Formulation Approach</t>
  </si>
  <si>
    <t>https://ieeexplore.ieee.org/stamp/stamp.jsp?arnumber=9589025</t>
  </si>
  <si>
    <t>Digital technology usages are becoming more important in today's business environment, including at sharia business environment. It concludes ability to adapt for change that imperishable to anyone. Therefore, for the same arguments, there are not enough research findings and discussion regarding on how to leverage Blockchain ecosystems (especially for sharia business environments) incorporate with Digital Strategy Plan formulation. This is a question that the researcher wants to explore using a systemic literature review technique and specific case studies from sharia business applications and environments. The result of this will attempt to propose the convergent of digital strategy plan formulation and halal blockchain ecosystems concepts.</t>
  </si>
  <si>
    <t>digital strategy;halal blockchain;strategic formulation approach</t>
  </si>
  <si>
    <t>Yuhong Liu, Deqing Ma, Jinsong Hu, Ziyi Zhang</t>
  </si>
  <si>
    <t>Sales mode selection of fresh food supply chain based on blockchain technology under different channel competition</t>
  </si>
  <si>
    <t>https://www.sciencedirect.com/science/article/pii/S0360835221006343</t>
  </si>
  <si>
    <t>In the era of new technology, e-commerce platforms (E-platform) have been opening up the fresh food market successively, so it is inevitable that they will face the problem of the selection of sales mode. We consider the blockchain-enabled traceability goodwill and product freshness, aiming to explore whether the E-platform chooses reselling or agency selling for fresh food in competition with different traditional retailers. Traditional retailers include both TR1 (the traditional retailer who collaborates with the supplier through a wholesale price contract) and TR2 (the traditional retailer who collaborates with the supplier through a revenue-sharing contract). Our results show, competition between traditional and online channels can lead to a higher price for fresh food and incentivize firms to invest more in product freshness and blockchain-enabled traceability goodwill, so it contributes to economical profits across the supply chain. Furthermore, in the presence of channel competition, the interaction between the E-platform sales mode and optimal strategies depends mainly on competition, the settable fee rate under agency selling and the wholesale price under reselling. Also, the rate increases can drive up the pricing and prompt the traditional retailer to expand investment in blockchain technology. However, it no longer affects the pricing when the rate equals the revenue-sharing proportion made by TR2. In addition, only when the wholesale price is higher than a certain threshold or the rate and competition meet certain conditions, double marginalization will make the pricing under reselling higher than that under agency selling. Combined with the numerical example, we further find that reselling is the dominant sales mode for fresh food with a low wholesale price regardless of the type of the traditional retailer. However, as the wholesale price rises, in addition to the wholesale price, the platform also needs to consider the impact of channel competition and the fee rate to choose the optimal sales mode, especially in a highly competitive environment.</t>
  </si>
  <si>
    <t>Multi-channel fresh food supply chain; Reselling; Agency selling; Channel competition; Differential game</t>
  </si>
  <si>
    <t>Agung A.A.G.; Yuniar I.; Hendriyanto R.</t>
  </si>
  <si>
    <t>Smart Contract and IPFS Decentralized Storage for Halal Certification Process</t>
  </si>
  <si>
    <t>https://www.scopus.com/inward/record.uri?eid=2-s2.0-85189635590&amp;doi=10.62527%2fjoiv.8.1.1497&amp;partnerID=40&amp;md5=9c431f02dfcbca04df25de89d001167f</t>
  </si>
  <si>
    <t>The halal industry today has achieved rapid development. Halal product is mandatory for Muslims and a big business for Indonesia. For others, it affirms the product's quality assurance and becomes a trending lifestyle. The product owner must submit an application and undergo several processes to obtain a halal certificate. However, there are challenges in the certification process and documentation. The proposed system automates the flow between certification processes through digital signing and stores the certificate and fatwa file. The study investigates the utilization of blockchain to manage the process and the integration of decentralized storage (IPFS) to store the digital version of the fatwa and certificate. A smart contract is designed and deployed on the Ethereum blockchain, and the transaction time and cost are analyzed. A smart contract enforces that certain actions are executed once the required conditions are fulfilled. The proposed system would cost 24.6 USD and require 227 seconds on average for the system setup. Each submission requires 9.86 USD and takes 92 seconds on average. Verification is free, and the average result can be obtained in one second. The appointed officer sets each entity to interact with the contract, and the digital documents (fatwa and certificate) are available online using IPFS. Progress of the certification is transparent to the public, increasing the public's trust. The study demonstrates a smart contract's capability to manage a product's certification process. © 2024, Politeknik Negeri Padang. All rights reserved.</t>
  </si>
  <si>
    <t>certification process; Halal product; IPFS; smart contract</t>
  </si>
  <si>
    <t>Nashirudin M.; Ramadhan; Ulfah A.K.</t>
  </si>
  <si>
    <t>Strengthening Maqāṣid al-Sharī’ah Values in Halal Traceability: Evidence and Analysis of Block Chain Based on Halal Supply Chain Applications</t>
  </si>
  <si>
    <t>https://www.scopus.com/inward/record.uri?eid=2-s2.0-85197256268&amp;doi=10.24090%2fmnh.v18i1.9883&amp;partnerID=40&amp;md5=3e6b83c4681a1aafd936af54adea2fe0</t>
  </si>
  <si>
    <t>Halal traceability is one of the government’s focus in developing the halal industry. By adopting a blockchain system, halal traceability is undoubtedly transparent. However, this transparency also needs to be analyzed using maqāṣid al-sharī’ah. This analysis is used to analyze the extent of the application of maqāṣid al-sharī’ah values in halal traceability. The results of the study state that the application of halal traceability has fulfilled the elements of maqāṣid al-sharī’ah, such as transparency, accountability, responsibility, and justice. Therefore, the blockchain-based halal traceability application model is appropriate and relevant to Islamic values. © 2024, Universitas Islam Negeri Profesor Kiai Haji Saifuddin Zuhri Purwokerto. All rights reserved.</t>
  </si>
  <si>
    <t>Blockchain; Halal Supply Chain; Halal Traceability; Maqāṣid al-Sharī’ah</t>
  </si>
  <si>
    <t>Abdulla Alourani, Shahnawaz Khan</t>
  </si>
  <si>
    <t>A Blockchain and Artificial Intelligence based System for Halal Food Traceability</t>
  </si>
  <si>
    <t>https://arxiv.org/abs/2410.07305</t>
  </si>
  <si>
    <t>The demand of the halal food products is increasing rapidly around the world. The consumption of halal food product is just not among the Muslims but also among non-Muslims, due to the purity of the halal food products. However, there are several challenges that are faced by the halal food consumers. The challenges raise a doubt among the halal food consumers about the authenticity of the product being halal. Therefore, a solution that can address these issues and can establish trust between consumers and producers. Blockchain technology can provide a distributed ledger of an immutable record of the information. Artificial intelligence supports developing a solution for pattern identification. The proposed research utilizes blockchain an artificial intelligence-based system for developing a system that ensure the authenticity of the halal food products by providing the traceability related to all the operations and processes of the supply chain and sourcing the raw material. The proposed system has been tested with a local supermarket. The results and tests of the developed solution seemed effective and the testers expressed interest in real-world implementation of the proposed system.</t>
  </si>
  <si>
    <t>Agung A.A.G.; Nugroho H.; Hendriyanto R.</t>
  </si>
  <si>
    <t>A Blockchain-based Halal Certificate Recording and Verification Prototype</t>
  </si>
  <si>
    <t>https://www.scopus.com/inward/record.uri?eid=2-s2.0-85133655195&amp;doi=10.30630%2fjoiv.6.2.995&amp;partnerID=40&amp;md5=c627a07b1e7ceea5f07ae2f919c51a3e</t>
  </si>
  <si>
    <t>Halal certification assures that a product or a service has been created, processed, and delivered according to Islamic laws. Currently, the certificate is printed on a security paper and includes a QR code that can be used to verify the certificate online. However, there are some problems with the ongoing certificate verification process. The verification site is centralized, creating a single point of failure. The current verification system is also unable to detect the modified printed certificate. The research aims to propose an alternative halal certificate recording and verification system. A smart contract that runs on the Ethereum blockchain is developed and deployed for that purpose. As a result, the average certificate creation cost is US$20.035, and the process requires 5.75 seconds, while verification is free, and the result can be obtained in about one second. Utilizing the blockchain to store and verify the halal certificate increases trust in the product or service since once the data is stored, it cannot be changed and accessible to the public. Nodes around the world replicate the blockchain to ensure service availability. For future consideration, the system can be extended to automate and track the halal application process and integrated as an alternative to the current system by implementing multiple signatures in the smart contract for each party. Furthermore, the system can be integrated with a peer-to-peer sharing system such as IPFS to store the digital certificate. © 2022, Politeknik Negeri Padang. All rights reserved.</t>
  </si>
  <si>
    <t>Ethereum; halal certificate; smart contract</t>
  </si>
  <si>
    <t>Zainab Senan Attarbashi</t>
  </si>
  <si>
    <t>A COLLABORATIVE HALAL SUPPLY CHAIN MODEL TO ADDRESS SAFETY AND TRANSPARENCY BASED ON BLOCKCHAIN TECHNOLOGY</t>
  </si>
  <si>
    <t>https://journals.alqasimia.ac.ae/index.php/ie/article/view/373</t>
  </si>
  <si>
    <t>Muslim spending on halal food is growing at 6.3%, projected to reach $2  trillion  by  2024,  raising  concerns  about  the  authenticity  of  halalclaims  due  to  the  inability  to  trace  products  throughout  the  supply  
 chain.  This  research  has  two  primary  objectives:  first,  to  develop  a  decentralized model for halal tracking using blockchain technology, and    second,    to    assess    Customers'    awareness    of    blockchain    applications   in   the   halal   industry.   The   proposed   system   uses   blockchain's  decentralized  and  immutable  nature  to  record  data  transparently  and  securely,  covering  halal  product  origin,  quality,  handling,    and    processing.    This    will    enhance    supply    chain    transparency,  improve  record-keeping  efficiency,  strengthen  food  safety and quality assurance, and build consumer trust through end-to-end  traceability.  The  development  process  involves  smart  contracts,  cryptographic  techniques,  and  data  analytics,  implemented  using  Ethereum   2.0   and   Web3.js.   Testing   of   the   prototype   system   demonstrated   strong   scalability,   handling   high   loads   without   compromising    efficiency,    and    adhered    closely    to    predefined    guidelines, enhancing trust in the system’s reliability.</t>
  </si>
  <si>
    <t>Halal   Food   Supply   Chain,   Blockchain   Technology,   Supply Chain Integrity, Consumer Trust.</t>
  </si>
  <si>
    <t>Wahab R.A.; Mohamad U.H.; Ahmad M.N.</t>
  </si>
  <si>
    <t>A Dual Approach to Halal Meat Traceability through QR Codes and Blockchain</t>
  </si>
  <si>
    <t>https://www.scopus.com/inward/record.uri?eid=2-s2.0-105005193320&amp;doi=10.18517%2fijaseit.15.2.20509&amp;partnerID=40&amp;md5=872bfd551c259daf3e3a0ba92a0b77c9</t>
  </si>
  <si>
    <t>Existing traceability systems in the halal meat supply chain are acknowledged as having significant shortcomings, leading to decreased consumer confidence and halal standard violations. In response to these challenges, this paper proposed an integrated approach using QR codes and blockchain to improve traceability, especially in the halal meat supply chain ecosystem. This research contributes to developing a schematic diagram that illustrates the interaction of QR codes with the inclusion of a ledger system on a blockchain level from farm to consumer. This provides a step-by-step representation of how these technologies interact across the supply chain. The QR code allows easy access to product information, and blockchain establishes widespread trust in the data through an immutable ledger. Despite its practicality and promising concept, a narrative review of the 22 selected studies showed that the proposed ecosystem has a positive potential for enhancing transparency, restoring consumers' trust, and improving the compliance rate. Moreover, the results highlighted the system's ability to minimize traceability fraud and simplify halal certification procedures. However, the study also highlighted several challenges, including the implementation costs, the absence of standardized data systems, and the requirements of sufficient infrastructure and qualified human resources. This study contributes to the body of knowledge by identifying the key challenges to establishing successful halal meat traceability, highlighting the focus of potential future work on scalability, interoperability, and supply chain optimization. © IJASEIT is licensed under a Creative Commons Attribution-Share Alike 4.0 International License.</t>
  </si>
  <si>
    <t>Consumer trust; data integrity; digital authentication; food fraud prevention; supply chain transparency</t>
  </si>
  <si>
    <t>Ali M.H.; Chung L.; Kumar A.; Zailani S.; Tan K.H.</t>
  </si>
  <si>
    <t>A sustainable Blockchain framework for the halal food supply chain: Lessons from Malaysia</t>
  </si>
  <si>
    <t>https://www.scopus.com/inward/record.uri?eid=2-s2.0-85106619048&amp;doi=10.1016%2fj.techfore.2021.120870&amp;partnerID=40&amp;md5=ee4bb425c67f580b76c9df9adfbc2269</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</si>
  <si>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 © 2021</t>
  </si>
  <si>
    <t>Blockchain technology; Food supply chain; Halal; SMEs</t>
  </si>
  <si>
    <t>Hendayani R.; Fernando Y.</t>
  </si>
  <si>
    <t>Adoption of blockchain technology to improve Halal supply chain performance and competitiveness</t>
  </si>
  <si>
    <t>https://www.scopus.com/inward/record.uri?eid=2-s2.0-85137533405&amp;doi=10.1108%2fJIMA-02-2022-0050&amp;partnerID=40&amp;md5=e208dde986b744ab44b28200f81f12c3</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</si>
  <si>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 © 2022, Emerald Publishing Limited.</t>
  </si>
  <si>
    <t>Blockchain technology; Firm competitiveness; Halal food; Halal supply chain performance; Manufacturing</t>
  </si>
  <si>
    <t>Pengfei Li, Jingjie Yang, Ana M. Jiménez-Carvelo, Sara W. Erasmus</t>
  </si>
  <si>
    <t>Applications of food packaging quick response codes in information transmission toward food supply chain integrity</t>
  </si>
  <si>
    <t>https://www.sciencedirect.com/science/article/pii/S0924224424000608</t>
  </si>
  <si>
    <t>Background
Manufacturers and consumers are increasingly aware that asymmetric information can lead to potential risks in food safety and supply chain integrity. The traditional paper labels, due to their limited size, are no longer able to realize the transmission of a large amount of information. Quick Response (QR) code, as one of the most versatile and commercially successful digital technologies, provides a feasible approach to connecting physical food with its relevant digital information, and its potential in information transmission has been gradually discovered and exploited in recent years – attracting increasing attention.
Scope and approach
In this review, a brief overview of the QR code configuration and technical principle of information transmission is provided, along with comparisons to other digital technologies. Moreover, it provides a useful overview of the current applications of QR codes developed and practiced in information transmission. On this basis, the limitations and development direction for improving its properties are discussed.
Key findings and conclusions
Food packaging QR codes are suitable for information transmission due to their large data storage and quick information access. QR codes have good performance in traceability, quality evaluation, anti-counterfeiting, and marketing. Given its limitations, the flexible combination with other complementary technologies, improving the consumers’ sense of gratification after use, and forcing and encouraging companies to implement are the possible development directions of maximizing QR code utilization in the future within the food supply chain.</t>
  </si>
  <si>
    <t>Authentication; Food label; Food traceability; Quick response code; Information transmission</t>
  </si>
  <si>
    <t>Tan, A; Gligor, D; Ngah, A</t>
  </si>
  <si>
    <t>Applying Blockchain for Halal food traceability</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</si>
  <si>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</si>
  <si>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contract; QR code; food supply chain; traceability</t>
  </si>
  <si>
    <t>Vanany I.; Soon-Sinclair J.M.; Rahkmawati N.A.</t>
  </si>
  <si>
    <t>Assessment of halal blockchain in the Indonesian food industry</t>
  </si>
  <si>
    <t>https://www.scopus.com/inward/record.uri?eid=2-s2.0-85191724110&amp;doi=10.1108%2fJIMA-05-2022-0122&amp;partnerID=40&amp;md5=5e5a7a5e4f98f3c4b9e91cc931c64b45</t>
  </si>
  <si>
    <t>Purpose: 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 Design/methodology/approach: 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 Findings: 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 Practical implications: The proposed halal blockchain decision structure can assist food companies in deciding whether to adopt the technology. Originality/value: This study proposes 19 variables that establish a valid hierarchical structure of halal blockchain adoption for the Indonesian food industry. © 2024, Emerald Publishing Limited.</t>
  </si>
  <si>
    <t>Best–worst method; Food Industry; Halal blockchain adoption</t>
  </si>
  <si>
    <t>Imanto T.; Yazid S.</t>
  </si>
  <si>
    <t>Blockchain Based Halal Food Production Tracking</t>
  </si>
  <si>
    <t>https://www.scopus.com/inward/record.uri?eid=2-s2.0-85124352716&amp;doi=10.1109%2fIWBIS53353.2021.9631868&amp;partnerID=40&amp;md5=33c57c3b2bcd262981111b5ccef9c301</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</si>
  <si>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  © 2021 IEEE.</t>
  </si>
  <si>
    <t>blockchain; halal; smart contract; supply chain</t>
  </si>
  <si>
    <t>G. R. Chandra; I. A. Liaqat; B. Sharma</t>
  </si>
  <si>
    <t>Blockchain Redefining: The Halal Food Sector</t>
  </si>
  <si>
    <t>https://ieeexplore.ieee.org/stamp/stamp.jsp?arnumber=8701321</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</si>
  <si>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</si>
  <si>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Blockchain;Halal Food;Halal Certification;Supply Chain;Transparency;Hyperledger Composer</t>
  </si>
  <si>
    <t>Hamid Z.J.B.M.H.; Tan M.I.B.I.</t>
  </si>
  <si>
    <t>Blockchain Technology and Halal Certification: Issues and Development</t>
  </si>
  <si>
    <t>https://www.scopus.com/inward/record.uri?eid=2-s2.0-85176860699&amp;doi=10.4324%2f9781003368519-16&amp;partnerID=40&amp;md5=6a4a6e05b0b7e2cfe833a1cf1758568c</t>
  </si>
  <si>
    <t>Nowadays, halal has become a major concern among millennial consumers. The concept of halal does not only meet the religious obligation but also represents hygiene, sanitation, and the safety aspects. Thereby, Muslim, and non-Muslim consumers have been receptive to halal products and services. In that sense, the application of halal certification gives assurance that the products or services provided are high in quality and safety. Moreover, a study revealed that consumers pay attention to halal logo as it boosts their confidence regarding the quality before they purchase the products. In other words, the halal logo has been approved as the quality benchmark of the products and services. However, there are inherent shortcomings in applying halal certification which are the speed with which halal certification is processed and halal logos are issued, the lack of halal integrity among industry players, and the government’s lack of enforcement on the misuse of halal certificates and halal logos on the premises. These drawbacks can be recovered by adopting the fourth industrial tool which is blockchain technology. Blockchain technology is considered as one strategic initiative as it increases the efficiency and speed of the halal certification process. The systems that are described in this research are Halal Trail, POCertify, WhatsHalal, and TradeLens. From these systems, there is few room for improvements that have been suggested to increase the transparency of the system applied in the halal industry in conjunction with the concept of blockchain technology. © 2024 selection and editorial matter, Nor Aida Abdul Rahman, Kamran Mahroof and Azizul Hassan; individual chapters, the contributors.</t>
  </si>
  <si>
    <t>Mehmood N.; Shah M.; Faisal H.</t>
  </si>
  <si>
    <t>Blockchain Technology and Halal Certification: Issues and Developments</t>
  </si>
  <si>
    <t>https://www.scopus.com/inward/record.uri?eid=2-s2.0-85207556749&amp;doi=10.1007%2f978-981-97-1375-2_1&amp;partnerID=40&amp;md5=cee48154e0b9617291d6aeb02f8d3499</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</si>
  <si>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 © The Editor(s) (if applicable) and The Author(s), under exclusive license to Springer Nature Singapore Pte Ltd. 2024.</t>
  </si>
  <si>
    <t>Blockchain; Halal certifications; Halal industry; Issues and development; Technology adoption; Transparency</t>
  </si>
  <si>
    <t>Hana Catur Wahyuni, Mochamad Alfan Rosid, Rima Azara, Adam Voak</t>
  </si>
  <si>
    <t>Blockchain technology design based on food safety and halal risk analysis in the beef supply chain with FMEA-FTA</t>
  </si>
  <si>
    <t>https://www.sciencedirect.com/science/article/pii/S2307187724000294</t>
  </si>
  <si>
    <t>Beef has an important role in the health of the body. Food safety and halal are the main factors for consumers in purchasing beef. However, in reality, several activities in the beef supply chain result in status changes to be unsafe and not halal for consumption. This occurs due to weak food safety and halal supervision in the beef supply chain system. Therefore, this study proposes the use of blockchain technology to strengthen the food safety and halal supervision system in the beef supply chain. The objectives of this study are (1) to identify food safety and halal risk factors, and (2) to develop a blockchain technology design for mitigating food safety and halal risks in the beef supply chain. This research uses the FMEA method to measure risks and FTA for risk analysis. The results showed that 30 risks were identified in the beef supply chain. The highest risk is the absence of a halal certificate on the product. The 30 risks are grouped into 4 risks that are included in extreme priority risk, 11 risks in high priority risk, 4 risks in moderate risk, and 11 risks as acceptable risk. Based on these results, the role of blockchain technology to minimize risk is in the flow of data, and transactions will be easier to track, more transparent, and safer to use as part of the control and supervision system for food safety and halal standards in the beef supply chain. This research has implications for transparency in the supply chain, the accuracy of product track records, prevention of food poisoning, improving halal compliance, risk management and thus increasing consumer confidence.</t>
  </si>
  <si>
    <t>Halal; Food safety; Beef supply chain; Blockchain technology</t>
  </si>
  <si>
    <t>Alamsyah A.; Hakim N.; Hendayani R.</t>
  </si>
  <si>
    <t>Blockchain-Based Traceability System to Support the Indonesian Halal Supply Chain Ecosystem</t>
  </si>
  <si>
    <t>https://www.scopus.com/inward/record.uri?eid=2-s2.0-85132206623&amp;doi=10.3390%2feconomies10060134&amp;partnerID=40&amp;md5=5b958ec5fcae0244b40b1bc31e8f06e5</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</si>
  <si>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 © 2022 by the authors. Licensee MDPI, Basel, Switzerland.</t>
  </si>
  <si>
    <t>blockchain; halal supply chain; slaughterhouse; traceability system</t>
  </si>
  <si>
    <t>Abdullah Al Noman1*; Mahin Montasir Afif1; A. M. Rafinul Huq1; A. F. Faizur
Rahman1; Md. Emamul Arefin Islam1</t>
  </si>
  <si>
    <t>Blockchain-Driven Halal Supply Chains: Enhancing
Transparency and Efficiency While Ensuring
Shariah Adherence</t>
  </si>
  <si>
    <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t>
  </si>
  <si>
    <t>Halal-certified products are in high demand globally, but traditional supply chains face challenges like inefficiency,
lack of transparency, and low trust among stakeholders. This study proposes a Shariah-compliant blockchain-based Halal
supply chain management system to address these issues. By using Hyperledger Fabric, the system ensures traceability and
trust through data-smart auditing, creating a decentralized, immutable ledger with a permission blockchain. The system
automates compliance checks via smart contracts and integrates with Shariah boards for certification validation. It also
incorporates QR code-based product authentication and off-chain storage for scalability. Periodic audits maintain system
integrity, and end-to-end monitoring provides full visibility, ensuring Shariah compliance at every stage. This solution offers a
modular, scalable, and transparent approach to Halal supply chains, improving efficiency, privacy, and trust while addressing
the shortcomings of traditional methods.</t>
  </si>
  <si>
    <t>Blockchain, Halal Supply Chain, Shariah Compliance, Smart Contracts, Data Auditing.</t>
  </si>
  <si>
    <t>Dashti, LAHF; Jackson, T; West, A; Jackson, L</t>
  </si>
  <si>
    <t>Building a Halal Food Traceability Model for Kuwaiti Halal Ecosystem from Stakeholders' Perspectives</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</si>
  <si>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t>
  </si>
  <si>
    <t>Supply chain; traceability system; halal food; stakeholders' requirements</t>
  </si>
  <si>
    <t xml:space="preserve">Aries Susanty, Nia Budi Puspitasari, Zainal Fanani Rosyada, Muhamad Aria Pratama &amp; Edi Kurniawan </t>
  </si>
  <si>
    <t>Design of blockchain-based halal traceability system applications for halal chicken meat-based food supply chain</t>
  </si>
  <si>
    <t>https://link.springer.com/article/10.1007/s41870-023-01650-8</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</si>
  <si>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t>
  </si>
  <si>
    <t>Database Management System
Food Security
Islam
Lab-on-a-Chip
Knowledge Based Systems
Blockchain</t>
  </si>
  <si>
    <t>Whisnumurti Adhiwibowo, Widayat Widayat, Wahyul Amien Syafei</t>
  </si>
  <si>
    <t>Design of dual blockchain-based with Point of Authority for halal traceability system application on fresh meat-based supply chain</t>
  </si>
  <si>
    <t>(https://www.sciencedirect.com/science/article/pii/S2590123025012083)</t>
  </si>
  <si>
    <t>This study aims to design a halal fresh meat traceability system based on dual blockchain technology and the Internet of Things (IoT). This system will utilize the Point of Authority (PoA) method to validate information on the implementation of halal assurance in the halal fresh meat food chain based on beef, starting from the slaughterhouse, halal slaughterer, and slaughterhouse supervisor. This system will also provide information on temperature and humidity conditions in the delivery service of halal fresh meat products to consumers in traditional markets. In this study, we developed a software system with the waterfall method for a web-based halal traceability system using the Hypertext Preprocessor (PHP) programming language and the Laravel framework, blockchain using SQLite, and IoT technology using C programming. Consumers can obtain product delivery information, halal fresh product assurance information, and halal guarantor information transparently in the halal fresh meat supply chain by scanning the product's Quick Response Code (QR code). This study offers a basic framework for policymakers to improve the halal integrity of the halal fresh meat supply chain, and the concept of halal assurance in traditional markets. It also allows consumers to monitor the halal status of fresh beef products in conventional markets. This study contributes to the beef-based halal fresh beef supply chain research by developing a traceability system for halal fresh meat using blockchain and IoT.</t>
  </si>
  <si>
    <t>Blockchain; Halal traceability; Halal fresh meat; Internet of Things</t>
  </si>
  <si>
    <t>Surjandari, I; Yusuf, H; Laoh, E; Maulida, R</t>
  </si>
  <si>
    <t>Designing a Permissioned Blockchain Network for the Halal Industry using Hyperledger Fabric with multiple channels and the raft consensus mechanism</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</si>
  <si>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</si>
  <si>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Blockchain; Hyperledger Fabric; Multiple channels; Raft; Halal Supply Chain</t>
  </si>
  <si>
    <t>Desi Novianti 1, Yandra Arkeman 2, Mohammad Nabil Almunawar 3, Liesbetini Haditjaroko 4, Andes
Ismayana</t>
  </si>
  <si>
    <t>Designing a Transparent Distributed Systems for Halal
Supply Chains Using Blockchain Technology</t>
  </si>
  <si>
    <t>https://doi.org/10.36924/sbe.2020.3204</t>
  </si>
  <si>
    <t>Halal food is food in which its halalness status is regulated by a
shariah institution, which is normally designated by the government.
The halal status of food should be traced starting from raw materials,
processing, packaging, transportation and distribution processes to
end consumers. This is to make sure that halal food is free from any
contamination that may change its halal status. The problem is the
difficulty of tracing halal food along the supply chain as the supply
chain information from the upstream to downstream in the food
industry is not transparent. Currently, food tracking systems are a
centralized system, where information about food status is only
available to those who control the information. To improve the
transparency of the food status and to increase trust from customers,
a distributed and transparent system, where many parties can access
the food status any time, is needed. Blockchain technology can be
applied to help track the halalness status of food along its supply
chain. As blockchain is inherently distributed and transparent, hence
a distributed system can be developed by incorporating blockchain
technology for tracking food status. This paper proposes a distributed
system for tracing halal food along its supply chains using blockchain
technology. This system is expected to support transparency,
neutrality.</t>
  </si>
  <si>
    <t>Halal Food
• HFSCM
• Distributed System
• Transparent System
• Blockchain Technology</t>
  </si>
  <si>
    <t>Kusnadi A.; Arkeman Y.; Syamsu K.; Wijaya S.H.</t>
  </si>
  <si>
    <t>Designing Halal Product Traceability System using UML and Integration of Blockchain with ERP</t>
  </si>
  <si>
    <t>https://www.scopus.com/inward/record.uri?eid=2-s2.0-85153353588&amp;doi=10.26594%2fregister.v9i1.3045&amp;partnerID=40&amp;md5=c634afa0a49c89fd42a694a6eabe839e</t>
  </si>
  <si>
    <t>Consuming halal food is mandatory for Muslims, but meeting the growing demand for halal products has been a challenge for Muslim producers. Importing halal products from non-Muslim countries can raise doubts about their halal status. Therefore, a traceability system is needed to ensure the halalness of products. This research proposes a new traceability system by utilizing ERP, Blockchain, and smart contract technologies based on HAS 23000. This study is the first to combine these technologies. Using the System Development Life Cycle (SDLC) method, the design diagram has been successfully developed into an application system prototype. The use of ERP can help companies reduce operational costs, while the combination with blockchain technology ensures more transparent information, data protection, and system security. The system also uses smart contracts to make automated decisions. By managing the procurement of halal products, companies can ensure that products with halal assurance reach consumers. © 2023, the author(s).</t>
  </si>
  <si>
    <t>Blockchain; ERP; Halal Food; Smart Contract; Traceability</t>
  </si>
  <si>
    <t>Raimi L.</t>
  </si>
  <si>
    <t>Development of Shari’ah Framework for Halal Policy and Standards for Integrating Blue Economy for Halal Industry Sustainability</t>
  </si>
  <si>
    <t>https://www.scopus.com/inward/record.uri?eid=2-s2.0-105005039580&amp;doi=10.1007%2f978-981-96-1729-6_9&amp;partnerID=40&amp;md5=0b1f8738f97d2a19d4b94531119a774a</t>
  </si>
  <si>
    <t>This chapter explores the development of a Shari’ah-compliant framework for integrating blue economy principles into Halal policies and standards to promote sustainability within the Halal industry. Using a narrative review method, the study synthesizes literature from various disciplines including Islamic jurisprudence, economic sustainability and environmental management. The review highlights the applicability of Maqasid al-Shari’ah in promoting ethical consumption, environmental protection and social justice in the Halal sector. The insightful findings that emerged show that halal supply chain management and blockchain technology improve transparency, sustainability and Shari’ah compliance. Furthermore, integrating blue economy principles into the halal sustainability industry presents both challenges and opportunities for sustainable development in halal industries such as seafood and tourism. The chapter affirms that the adoption of Shari’ah-compliant corporate governance frameworks can improve ethical business operations and the global competitiveness of the industry. By promoting a holistic approach that balances religious commitments with sustainability goals, the chapter concludes that the halal industry can achieve long-term environmental and social sustainability while adhering to Islamic teachings. © The Author(s), under exclusive license to Springer Nature Singapore Pte Ltd. 2025.</t>
  </si>
  <si>
    <t>Blue economy; Halal industry; Halal policy; Shari’ah framework; Standards; Sustainability</t>
  </si>
  <si>
    <t>Adhiwibowo W.; Widayat W.; Syafei W.A.</t>
  </si>
  <si>
    <t>Dual Blockchain Framework for Halal Food Safety and Tracebility Concern With Internet of Things</t>
  </si>
  <si>
    <t>https://www.scopus.com/inward/record.uri?eid=2-s2.0-85191353072&amp;doi=10.1109%2fICTECA60133.2023.10490466&amp;partnerID=40&amp;md5=a06fc170ba87b533d0f542311ac22c8a</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</si>
  <si>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  © 2023 IEEE.</t>
  </si>
  <si>
    <t>Dual Blockchain; Halal Food; IoT; Slaughterhouses</t>
  </si>
  <si>
    <t>Wahyuni H.C.; Untari R.S.; Azzara R.; Kurnianingtyas D.; Tieman M.</t>
  </si>
  <si>
    <t>FMEA for Blockchain Design for Food Safety and Halal Risk Mitigation in Meat Supply Chain</t>
  </si>
  <si>
    <t>https://www.scopus.com/inward/record.uri?eid=2-s2.0-85216462216&amp;doi=10.22068%2fijiepr.35.4.2148&amp;partnerID=40&amp;md5=f1837a1a867b46714b39f50d8a68e180</t>
  </si>
  <si>
    <t>This research discusses the application of the Failure Mode and Effect Analysis (FMEA) method in designing a blockchain system for mitigating food safety and halal risks in the beef supply chain. The complexity of the meat supply chain involving various parties increasing the risk of contamination and changes in the halal status of the meat. This research aims to identify food safety and halal risks, prioritise the risks, and design blockchain-based mitigation solutions. Blockchain was chosen for its advantages in providing high transparency and accountability, enabling real-time tracking at every stage of the supply chain. The research results show that most of the risks in the meat supply chain fall into the low category, but there are some critical medium risks, especially related to the slaughtering process. The proposed blockchain design includes product traceability features, halal certification, temperature monitoring, and smart contracts to ensure automatic validation of food safety and halal compliance. The implementation of this blockchain is expected to increase consumer trust in meat products, reduce the risk of contamination, and strengthen accountability throughout the meat supply chain. © Iran University of Science and Technology 2024.</t>
  </si>
  <si>
    <t>Blockchain; FMEA; Food safety; Halal; Meat supply chains</t>
  </si>
  <si>
    <t>Soesanto D.; Liliana; Prijambodo B.</t>
  </si>
  <si>
    <t>Food Fraud Prevention using a Blockchain-Based System: Case Study Slaughterhouse in Sidoarjo</t>
  </si>
  <si>
    <t>https://www.scopus.com/inward/record.uri?eid=2-s2.0-105003064751&amp;doi=10.29207%2fresti.v6i2.3937&amp;partnerID=40&amp;md5=14b3dd852cdb7c4b70bbca86c8dc146d</t>
  </si>
  <si>
    <t>In the supply chain of foodstuffs derived from livestock, data consistency and security are the most important thing to pay attention to. However, the length of the existing supply chain and the lack of facilities to store and maintain the correctness of livestock data are problems in ensuring the security of the data. The use of blockchain in livestock has existed in Indonesia, but its scope is only to agriculture or only a small part of the livestock supply chain. Therefore, this research was conducted to develop the application of a blockchain-based livestock supply chain system in Indonesia. This research begins with conducting a literature study, analyzing the slaughterhouses. Then the development of a blockchain system for the food supply chain was carried out. System validation was carried out through interviews with the head of the slaughterhouses, breeders, and wholesalers. The results state that the system helps in ensuring the security of food supply chain data from livestock. However, the problem that has not been resolved is the validation process of data on the weight loss of foodstuffs in the course of the supply chain process. In the future, this technique is expected to be used for halal certification. © 2022, Ikatan Ahli Informatika Indonesia. All rights reserved.</t>
  </si>
  <si>
    <t>blockchain; food fraud; livestock; supply chain; trust</t>
  </si>
  <si>
    <t>Munawar; Mugiono A.</t>
  </si>
  <si>
    <t>Framework for smart contract blockchain in halal traceability, integrity, and transparency</t>
  </si>
  <si>
    <t>https://www.scopus.com/inward/record.uri?eid=2-s2.0-85190993306&amp;doi=10.11591%2fijece.v14i3.pp2875-2884&amp;partnerID=40&amp;md5=7917d965ece21bf0dea8f1cd823bda5f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</si>
  <si>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 © 2024 Institute of Advanced Engineering and Science. All rights reserved.</t>
  </si>
  <si>
    <t>Electronic product code; Halal; information services; Off-chain; On-chain; Smart contract; Traceability</t>
  </si>
  <si>
    <t>Akbar A.; Rakhmawati N.A.; Vanany I.</t>
  </si>
  <si>
    <t>Halal Blockchain Application for a Chicken Slaughtering Factory</t>
  </si>
  <si>
    <t>https://www.scopus.com/inward/record.uri?eid=2-s2.0-85132994530&amp;doi=10.18461%2fijfsd.v13i3.C6&amp;partnerID=40&amp;md5=6f9039b23514559b6f84127bf8703c79</t>
  </si>
  <si>
    <t>The vast majority of traded products in Indonesia must be halal certified. This means that Indonesian consumers rely heavily on certificates issued by the Indonesian halal authority. Halal certification validates individual products and after four years, a certificate expires and must be renewed. One of the requirements in the certification process is that all the ingredients of the product must be halal. For this reason, we attempted to enhance the information on halal products, production, processes and delivery processes, using blockchain to address the validity issue. This paper proposes a blockchain-based system to support traceability in the chicken slaughterhouse industry. The design was tested using a black-box approach with 46 test cases that were based on a general scenario in a chicken slaughterhouse factory. The test result showed that all test cases produced the desired output. Hence, the proposed system fulfills the goal of enhancing the traceability of halal products. Ultimately, the buyers of halal chicken products will be assured that the chicken slaughterhouse followed the halal assurance system in its halal-critical processes. © 2022. International Journal on Food System Dynamics.All Rights Reserved</t>
  </si>
  <si>
    <t>Blockchain; Halal food; Supply chain; Trace system</t>
  </si>
  <si>
    <t>Abbas M.; Al-Aama A.Y.</t>
  </si>
  <si>
    <t>Halal Food Verification Using Blockchain Technology: A Proposed Framework for Saudi Arabia</t>
  </si>
  <si>
    <t>https://www.scopus.com/inward/record.uri?eid=2-s2.0-85218096765&amp;doi=10.1109%2fBCCA62388.2024.10844434&amp;partnerID=40&amp;md5=787f8215c6c8bdb04890568f11e7fdb6</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</si>
  <si>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 © 2024 IEEE.</t>
  </si>
  <si>
    <t>Blockchain; Food authentication; Food safety; Food supply chain; Food technology; Food verification; Halal food; Traceability</t>
  </si>
  <si>
    <t>Abderahman Rejeb</t>
  </si>
  <si>
    <t>Halal Meat Supply Chain Traceability based on HACCP, Blockchain and Internet of Things</t>
  </si>
  <si>
    <t>https://acta.sze.hu/index.php/acta/article/view/467</t>
  </si>
  <si>
    <t>Recently, Halal food has drawn remarkable attention of many consumers around the world. Besides to being unsafe, Halal food such as meat can encounter several issues throughout its supply chain and logistics. At any time, Halal integrity is not guaranteed and risks of becoming non-Halal is the major concern of all parties along the supply chain. To respond to Muslim consumers’ trust concerns in Halal food, many traceability systems were proposed in previous studies based on emerging technologies and  recommended to be incorporated into Halal food supply chains. Nevertheless, all of these systems are centralized, opaque and not enough transparent. To mitigate these problems, blockchain technology is introduced as a ground-breaking innovation with greater decentralization, visibility and transparency. This paper makes a major contribution in suggesting Halal meat supply chain traceability system for real-time food tracing based on embedding Islamic dietary law into HACCP, blockchain and Internet of Things.</t>
  </si>
  <si>
    <t>Halal Meat Supply Chain, HACCP, Blockchain, Internet of Things, Traceability</t>
  </si>
  <si>
    <t>Kadeer Zulihuma  , Abdul Samad Bin Shibghatullah</t>
  </si>
  <si>
    <t>Halal Supply Chain Management Using Blockchain Technology</t>
  </si>
  <si>
    <t>https://www.jstage.jst.go.jp/article/jaalr/3/2/3_9/_article/-char/ja/</t>
  </si>
  <si>
    <t>A halal supply chain consists of a supply network where special attention is paid to products to ensure halal integrity. Given the growing demand for halal products from both Muslims and non-Muslims worldwide, it is important to ensure product quality through an integrated supply chain. Integrity means honesty and constant monitoring and strong ethical principles and values. Maintaining the integrity of the halal supply chain is important, all aspects of halal food integrity must be carefully protected and all actors in the supply chain must take all necessary measures to avoid cross-contamination causing product damage. convert to non-halal. In addition, food safety is part of the halal integrity and traceability process, which produces traceable information from the source of the product to the store. In this way, the unit can track and trace food, such as food ingredients and expiration date, date of preparation, packaging during production, and record during the process, including when, where and how. To achieve better traceability, it is necessary to move and digitize the traditional supply chain, which can be done with blockchain technology in halal supply chain management (SCM). Three smart contract features, including traceability, decentralization and anonymity, are added to the model as moderators to investigate their impact on the integrity of the halal supply chain.</t>
  </si>
  <si>
    <t>Blockchain technology
Halal supply chain
Supply chain integrity</t>
  </si>
  <si>
    <t>Vikaliana R.; Iskandar Y.A.; Ikhwanissa R.</t>
  </si>
  <si>
    <t>Halal Supply Chain Performance Measurement Model Involving Traceability Aspects: A Study in A Chicken Slaughterhouse</t>
  </si>
  <si>
    <t>https://www.scopus.com/inward/record.uri?eid=2-s2.0-85197221126&amp;doi=10.1088%2f1755-1315%2f1358%2f1%2f012030&amp;partnerID=40&amp;md5=b02b8c3e3ad8e4b8a45d2c8dc38abef8</t>
  </si>
  <si>
    <t>The food and beverage industry in Indonesia has the greatest overall consumption value of halal products across all industries, according to a research published by the Halal Market 2020/2021. The public becomes more aware of a product's halal status as a result of this case, and they also demand further information about it. Thus, to guarantee a product's transparency, halal traceability is required. Halal traceability refers to the process of tracking a product's halal status. This study was carried out at PT Sreeya Sewu, a chicken slaughterhouse business that has integrated halal blockchain technology for halal traceability. The purpose of this study is to develop supply chain KPIs that take traceability into account. 12 Key Performance Indicators/KPIs will be chosen and verified once KPIs are created using the SCOR methodology. AHP pairwise comparisons will be used to weight the verified KPIs. According to the findings, KPI-02 has the most weight. KPI-10 Cycle time for item trace has the lowest weight at 0.076 and the highest percentage at 0.533 for halal training. © Published under licence by IOP Publishing Ltd.</t>
  </si>
  <si>
    <t>Calder R.</t>
  </si>
  <si>
    <t>Halalization: Religious Product Certification in Secular Markets</t>
  </si>
  <si>
    <t>https://www.scopus.com/inward/record.uri?eid=2-s2.0-85096862917&amp;doi=10.1177%2f0735275120973248&amp;partnerID=40&amp;md5=70a5e20310c1b91c47cc586ebd4123b2</t>
  </si>
  <si>
    <t>In Islam, the extension of religious regulation and certification to new product types and economic sectors—“halalization”—has become widespread. There are now Islamic mortgages, halal ports, halal refrigerators, halal blockchain, and shariah-compliant cryptocurrencies. Yet classical secularization theory says religious authority cannot regulate modern economic activity. So what explains halalization? I point to an elective affinity between fiqh (Islamic jurisprudence) and twenty-first-century markets. Contemporary fiqh offers widely respected religious jurists who issue fatwas certifying products. Entrepreneurs empanel the jurists on certification boards, allowing fiqh to function as a regime of voluntary regulation layered atop secular state law instead of conflicting with it. Indeed, secular liberal markets provide ideal conditions for halalization and religious meaning-making through consumption. Case studies of Islamic finance and halal logistics show how entrepreneurs assuage consumers’ religious anxieties—and generate new ones—in the context of globalization and liberalization in secular markets. © American Sociological Association 2020.</t>
  </si>
  <si>
    <t>economic secularism and secular markets; halal logistics; Islam and capitalism; Islamic finance; voluntary regulation and certification</t>
  </si>
  <si>
    <t>Sidarto, LP; Hamka, A</t>
  </si>
  <si>
    <t>Improving Halal Traceability Process in the Poultry Industry Utilizing Blockchain Technology: Use Case in Indonesia</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</si>
  <si>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t>
  </si>
  <si>
    <t>blockchain; decentralization; halal traceability; poultry; transparency; supply chains</t>
  </si>
  <si>
    <t>Ellahi, RM; Wood, LC; Khan, M; Bekhit, AEA</t>
  </si>
  <si>
    <t>Integrity Challenges in Halal Meat Supply Chain: Potential Industry 4.0 Technologies as Catalysts for Resolution</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</si>
  <si>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t>
  </si>
  <si>
    <t>halal; 3D printing; blockchain; Internet of Things; augmented reality; artificial intelligence; metaverse; digital twins; robotics; big data analytics</t>
  </si>
  <si>
    <t>Karyani, E; Geraldina, I; Haque, MG; Zahir, A</t>
  </si>
  <si>
    <t>Intention to adopt a blockchain-based halal certification: Indonesia consumers and regulatory perspective</t>
  </si>
  <si>
    <t>PurposeHalal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stored.Design/methodology/approachThis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parties.FindingsThe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process.Practical implicationsThis finding recommends that the Indonesian government apply blockchain technology to gain transparency and accountability regarding the halal product process.Originality/valueThis study fills the research gap by observing three perspectives from different stakeholders and using a triangulation approach to analyze the need for adoption of blockchain-based halal certification of halal food products.</t>
  </si>
  <si>
    <t>Blockchain; Food traceability; Halal certification; Halal supply chain; Intention to adopt blockchain</t>
  </si>
  <si>
    <t>Julius Cancer Zain, Gema Tedja Nugraha, Raden Didiet Rachmat Hidayat, Tenaka Budiman, Agus Setiawan</t>
  </si>
  <si>
    <t>The Implementation of Halal Supply Chain With Private Blockchain in Indonesia</t>
  </si>
  <si>
    <t>https://proceedings.itltrisakti.ac.id/index.php/ATLR/article/view/18</t>
  </si>
  <si>
    <t>Since Indonesia is the country with the largest Muslim population, the demand for halal products is increasing.Â Indonesia has not taken the advantage of these opportunities, such as, the implementation of supply chain activities were not integrated with stakeholders like suppliers, factories, transportation, logistics and retailers.Â  This is what has happened in PT Multi Terminal Indonesia warehousing with their halal storage.Â This paper explains the problem with a private blockchain technology that will help the integration and transparency of every data activities from stakeholders.Â This paper uses SWOT analysis and Qualitative research to determine the impact and to clearly describe the application of this system.Â The result of the analysis of the occurrence of collaboration between stakeholders in halal supply chain activities is synergistic and transparent.Â The use of the Private Blockchain will increase customer trust in halal products which raises awareness of the importance of halal supply chain. Moreover, private blockchain in transportation and logistics activities can be accessed by the customer through smartphones QR codeÂ  toÂ  achieve lean logistics.Â It changes the mindset of consumers to switch and believe in using products based on the Halal supply chain so that Indonesians escape from the current issue of religion.Â Â The writersâ€™ propose is Â to manage the Halal supply chain with the Private Blockchain in Indonesia by the Government,in this case the designated State-Owned Enterprises (SOEs).Â To introduce this system the government must socialize the above and below the Line.</t>
  </si>
  <si>
    <t>awareness; consumers; halal Products; muslim; private blockchain; transparency; trust</t>
  </si>
  <si>
    <t>Ahamed, NN; Vignesh, R; Alam, T</t>
  </si>
  <si>
    <t>Tracking and tracing the halal food supply chain management using blockchain, RFID, and QR code</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</si>
  <si>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</si>
  <si>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Blockchain; Smart Contract; Halal Food; RFID; QR Code</t>
  </si>
  <si>
    <t>Article; Early Access</t>
  </si>
  <si>
    <t>Hidayati J.; Vamelia R.; Hammami J.; Endri E.</t>
  </si>
  <si>
    <t>Transparent distribution system design of halal beef supply chain</t>
  </si>
  <si>
    <t>https://www.scopus.com/inward/record.uri?eid=2-s2.0-85144841973&amp;doi=10.5267%2fj.uscm.2022.12.003&amp;partnerID=40&amp;md5=fe1aae6b46ad6e6794424f35796aa183</t>
  </si>
  <si>
    <t>Halal food is food whose halal status is regulated by sharia institutions such as LPPOM MUI which is set by the government. The halal status of food must be traced from the process of raw materials, processing, packaging, transportation, and distribution to the final consumer. It is difficult to trace the certainty of halal food, especially beef in Medan City because the supply chain information from upstream to downstream is not transparent. To increase the transparency of beef status and increase consumer confidence, especially Muslim consumers, a distributed and transparent system is needed, where many parties can access the status of food at any time. So Blockchain technology is used to help track the halal status of beef along the supply chain. The purpose of this study is to design a system to obtain information certainty that beef distributed along the supply chain is halal and safe for consumption by utilizing Blockchain technology and to increase public safety and trust in the LPPOM MUI halal certification system. Based on the discussion and research analysis, it is known that the information in the halal beef supply chain in Medan City uses blockchain technology designed with a data security system using smart contracts, where information that has been stored cannot be changed by any party. so that there is a guarantee of information security in the beef supply chain in the city of Medan. This research is expected to support transparency, security, and certainty of information about halal beef in Medan City. © 2023 Growing Science Ltd. All rights reserved.</t>
  </si>
  <si>
    <t>Blockchain Technology; Halal Food; Supply Chain; Transparency</t>
  </si>
  <si>
    <t>Tieman, M; Darun, MR; Fernando, Y; Ngah, A</t>
  </si>
  <si>
    <t>Utilizing Blockchain Technology to Enhance Halal Integrity: The Perspectives of Halal Certification Bodies</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</si>
  <si>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t>
  </si>
  <si>
    <t>Halal supply chain; Blockchain technology; Halal Certification Bodies (HCBs)</t>
  </si>
  <si>
    <t>Wresni Anggraini, Wakhid Slamet Ciptono and Luluk Lusiantoro, Heru Kurnianto Tjahjono</t>
  </si>
  <si>
    <t>Halal Food Integrity: Systematic Literature Review and Research Agendas</t>
  </si>
  <si>
    <t>https://ieomsociety.org/proceedings/2023manila/406.pdf</t>
  </si>
  <si>
    <t>Particularly, Food integrity is a comprehensive construct that relates to food production. Halal Food Integrity (HFI)
means that in producing food, Islamic law should be noticed and applied. Halal integrity of the product is a result of
the various activities in the supply chain, so HFI encapsulates the whole of the Halal Food Supply Chain (HFSC).
This paper presents a Systematic Literature Review (SLR) on HFI and some research agendas on it. Using SLR
methodology and based on the Preferred Reporting for Systematic Reviews and Meta-Analyses (PRISMA) protocol.
In total, by 89 articles from Scopus database, published in journals over 12 years, 34 articles were selected, mapped,
and assessed. The bibliometric approach made it possible to extract a large amount of useful information which was
previously scattered and to present it in a systematic way. The analysis of the co-occurrence network of keywords
identified five distinct clusters, corresponding to the dominant research themes in the area, which suggested the design
of a research agenda. The authors find that the key to improved halal integrity is transparency so that consumers can
make informed decisions. Halal transparency along the food supply chain could be enhanced by a halal traceability
system. Unfortunately, there are some barriers and challenges in adopting advanced traceability technology in Many
companies, especially in developing countries. Future research agendas could be in the area of enhancing traceability
technology to ensure HFI while considering the barrier and inhibitor that encountered by many food companies.</t>
  </si>
  <si>
    <t>Supply Chain, Halal Food Integrity, Transparency, Systematic Literature Review, PRISMA</t>
  </si>
  <si>
    <t>Proceedings of the 13 th Annual International Conference on Industrial Engineering and Operations Management, March 7-9, 202, Manila, Philippines</t>
  </si>
  <si>
    <t>Miftakhurrizal Kurniawan 1,2,* , Suparno Suparno 2 and Iwan Vanany 2</t>
  </si>
  <si>
    <t xml:space="preserve"> Conceptual Framework for Halal Supply Chain Traceability and
 Food Safety in Indonesia Based on Blockchain Technology and
 Internet of Things to Support Sustainable Development</t>
  </si>
  <si>
    <t>https://doi.org/10.3390/engproc2025084027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</si>
  <si>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</si>
  <si>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Conference Proceeding Paper</t>
  </si>
  <si>
    <t>Engineering Proceedings</t>
  </si>
  <si>
    <t>D.A. Kurniawati and A. Cakravastia</t>
  </si>
  <si>
    <t>A review of halal supply chain research: Sustainability and operations
research perspective</t>
  </si>
  <si>
    <t>https://doi.org/10.1016/j.clscn.2023.100096</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</si>
  <si>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
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
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</si>
  <si>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Sustainability
Halal supply chain
Optimization
Operation research
Review</t>
  </si>
  <si>
    <t>Journal</t>
  </si>
  <si>
    <t>Cleaner Logistics and Supply Chain</t>
  </si>
  <si>
    <t>Raihana Mohd Raff, Hadia Fauza Khairon</t>
  </si>
  <si>
    <t>Food Loss and Waste in the Halal Supply Chain: A Systematic Literature Review</t>
  </si>
  <si>
    <t>https://magscholar.com/jhsr/</t>
  </si>
  <si>
    <t>Food loss and waste have been a point of discussion since a decade ago. In fact, it has been a
highlight recently due to the increasing global food crisis as well as the COVID-19 pandemic. It
is found many works of literature define food loss and waste individually and interchangeably.
The 2019 report from the Food and Agriculture Organization (FAO) of the United Nations defines
food loss as the decrease in the quantity or quality of food resulting from decisions and actions by
food suppliers in the chain, excluding retail, food service providers, and consumers. Food loss and
waste reflect the complex inefficiencies throughout the food supply chain. The conventional
understanding of food loss and waste focuses mainly on disposed of or unused foods. However,
understanding what constitutes food loss and waste is rather complex, as it comprises several
dimensions. The halal supply chain can be an important instrument in managing loss and waste by
adopting a more detailed approach from the traditional supply chain. Therefore, the objective of
this study is to provide findings based on the systematic literature review presented by reviewing
20 articles, which are relevant to the study.</t>
  </si>
  <si>
    <t>Food Loss, Food Waste, Food Supply Chain, Halal</t>
  </si>
  <si>
    <t>Journal of Halal Service Research</t>
  </si>
  <si>
    <t>Ahmad Shalihin</t>
  </si>
  <si>
    <t>A Review Halal Food Supply Chain Practices Research</t>
  </si>
  <si>
    <t>https://www.researchgate.net/publication/371749257_A_Review_Halal_Food_Supply_Chain_Practices_Research?enrichId=rgreq-ac43bca964ff2f86ba49bba1a7474403-XXX&amp;enrichSource=Y292ZXJQYWdlOzM3MTc0OTI1NztBUzoxMTQzMTI4MTIxMjkxNTU1M0AxNzAyOTAwMjI1OTgx&amp;el=1_x_3&amp;_esc=publicationCoverPdf</t>
  </si>
  <si>
    <t xml:space="preserve">This paper presents a systematic review of halal practices on the topic of halal food supply chain (HFSC). HFSC is a 
developing concept (since 2010) as a development of the classic supply chain concept due to the increasing awareness 
to provide halal food for Muslim and non-Muslim customers. This study has reviewed 120 papers (60 empirical 
papers) and provides four main findings. First, from a theoretical point of view, the theory of planned behavior, the 
theory of reasoned action, and the arc integration approach are the most widely used theories to study halal practices 
in HFSC. Second, the choice of quantitative methods dominates empirical papers on Halal Practices in HFSC studies. 
Third, the majority of Halal Practice Studies at HFSC are conducted in Muslim countries with the food and beverage 
industry as the main sector studied. Fourth, based on the results of social network analysis, halal practices in the HFSC 
study are grouped into three research themes, namely issues related to HFSC and food issues. This study suggests a 
future research agenda such as elaborating theoretical and methodological aspects by examining three research themes. 
This paper will contribute to the HSC body of knowledge. </t>
  </si>
  <si>
    <t xml:space="preserve">Halal, Halal Practice, Halal Food Supply chain, bibliometric technique, network analysis. </t>
  </si>
  <si>
    <t xml:space="preserve">Proceedings of the International Conference on Industrial Engineering and Operations Management 
Manila, Philippines, March 7-9, 2023 </t>
  </si>
  <si>
    <t xml:space="preserve"> Nurul Indarti</t>
  </si>
  <si>
    <t>Asystematicreviewofhalal
 supply chain research:
 to whereshall wego?</t>
  </si>
  <si>
    <t>https://www.emerald.com/insight/1759-0833.htm</t>
  </si>
  <si>
    <t xml:space="preserve"> Purpose– This study aims to explore existing study trends in the halal supply chain (HSC) field as
 an extension of supply chain studies. Upon examining multiple journal ranks and citation profiles,
 these trends cover research themes, methodologies, settings (country and data analysis level) and
 their interactions.
 Design/methodology/approach– The study followed a systematic, mixed-method review to pinpoint
 the HSC research themes. The Publish or Perish software, with specific criteria, was used to retrieve and filter
 87 HSC articles from 2009 to 2019 from the Google Scholar database. Then, an input–process–output
 frameworkwasusedtoclassifyanddiscusspotentialfuture research.
 Findings– This study concludes that HSC research is still in early development. Five themes
 consisting of 24 different topics were found: the engagement process, quality control assurance,
 critical success factors, the production and distribution process and HSC operations support. Most of
 the HSC studies followed conceptual and qualitative interview methods, with special reference to
 Muslim-majority countries and organization-level analysis. Within one decade, the number of HSC
 publications grew significantly, though their presentation is mainly in unindexed journals and their
 citation rate is low. This study thus proposes three main future HSC research points: HSC
 consequences, processes and antecedents.
 Practical implications– Possible practical implications can be expected from the authors’ proposed
 empirical studies as guidelines to formulate and promote HSC implementation.
 Originality/value– No comprehensive HSC research review exists in the literature. This study
 intends to fill this void by charting cumulative knowledge and proposing a roadmap for future
 research endeavors.</t>
  </si>
  <si>
    <t>Halalsupply chain, Supply chain, Systematic review, Interpretation analysis</t>
  </si>
  <si>
    <t>Literature review</t>
  </si>
  <si>
    <t xml:space="preserve"> Journal of Islamic Marketing
 ©EmeraldPublishingLimited</t>
  </si>
  <si>
    <t>Ahmad Ridho</t>
  </si>
  <si>
    <t>Integrating Artificial Intelligence and Blockchain to Improve the Accuracy of Halal Certification</t>
  </si>
  <si>
    <t>http://doi.org/10.70764/gdpu-jhr.2025.1(1)-02</t>
  </si>
  <si>
    <t>Objective: The study aims to explore the integration of AI and blockchain into the halal certification process to improve accuracy, transparency, and efficiency. It evaluates their impact on Indonesia's halal certification system via the SHlal platform.
Research Design &amp; Methods: Qualitative approach using literature review, case studies, and stakeholder interviews.
Findings: AI and blockchain enhance efficiency, transparency, and security. AI automates error detection; blockchain prevents fraud. The SHlal platform boosts trust and satisfaction.
Implications &amp; Recommendations: Expand SHlal, develop tech infrastructure, train auditors, and encourage adoption by businesses.
Contribution: Demonstrates how AI-blockchain integration modernizes halal certification, positioning Indonesia as a global leader.</t>
  </si>
  <si>
    <t>artificial intelligence (AI), blockchain, halal certification</t>
  </si>
  <si>
    <t>Research paper</t>
  </si>
  <si>
    <t>Journal of Halal Review, Vol 01 (1) 2024, pp. 12-22</t>
  </si>
  <si>
    <t>SABRINA TARANNUM , MD. SHAH JALAL , AND MOHAMMAD NURUL HUDA</t>
  </si>
  <si>
    <t>HALALCheck: A Multi-Faceted Approach for Intelligent Halal Packaged Food Recognition and Analysis</t>
  </si>
  <si>
    <t>10.1109/ACCESS.2024.3367983</t>
  </si>
  <si>
    <t>Halal cuisine in Islamic religion is crucial because it signifies food that is legal according to
Islamic Shariah to guarantee that they adhere to their religious beliefs. This study addresses the critical
role of Halal cuisine in Islamic dietary practices, emphasizing its significance in adhering to Islamic
Shariah. The research aims to tackle the challenge of identifying and validating Halal-certified foods where
Halal certification is absent or unclear, making it challenging for Muslim consumers, especially tourists,
to confidently identify permissible foods. Traditional approaches are often not scalable or adaptable to
the dynamic nature of packaged food products, leading to inaccuracies in Halal classification. To address
this issue, we propose a more robust, automated, and technologically advanced solution, a novel method
utilizing deep learning and machine learning approaches for Halal food recognition. The system employs
the YOLOv5 detection algorithm to identify ingredients in packaged food products, and subsequent feature
extraction through an optical character recognition system. After preprocessing, a combination of trained
machine learning models, neural networks, and rule-based systems classifies the ingredients, accurately
determining the Halal or Haram status of food products. The research yields promising results, with the
proposed Halal packaged food recognition system achieving an accuracy rate of 98%, validated through
comparison with the opinions of three Islamic scholars. This innovative approach holds significant potential
for aiding Muslim consumers in efficiently recognizing Halal-certified items, especially when navigating
unfamiliar environments. However, the proposed intelligent system assists Muslim tourists in identifying
Halal food across the world.</t>
  </si>
  <si>
    <t>Halal food, Islamic Shariah, machine learning, Muslim consumer, food classification, deep
learning, rule-based model.</t>
  </si>
  <si>
    <t>IEEE Access</t>
  </si>
  <si>
    <t>Akhilesh Kumar Singh Zahid Raza</t>
  </si>
  <si>
    <t>A framework for IoT and blockchain based smart food chain
management system</t>
  </si>
  <si>
    <t>https://scholar.google.com/scholar?hl=en&amp;as_sdt=0%2C5&amp;q=A+framework+for+IoT+and+blockchain+based+smart+food+chain+management+system+Akhilesh+Kumar+Singh+Zahid+Raza+School+of+Computer+and+Systems+Sciences%2C+Jawaharlal+Nehru+University%2C+New+Delhi%2C+India+Correspondence+Zahid&amp;btnG=</t>
  </si>
  <si>
    <t>The worldwide food supply chain network firms have embraced digitalization and have
changed customers’ everyday lives in serval viewpoints. This work proposes a framework
for IoT and Blockchain based smart Food Chain Management System (IBFS)
aiming to regulate the food inventory systems in an organization focusing on the safety
and nature of the items conveyed to the end consumers. The proposed IBFS framework
is an IoT-based blockchain with smart contract architecture for trust, reliability, and
transparency.AMessageQueueTelemetryTransport(MQTT) (MessageQueueTelemetry
Transport) broker or server is deployed on the broadcast to record all data collected
from the IoT sensors. The data provided by IoT-sensors or devices is pooled and
gathered by MQTT based cloud brokers and the shipment’s geolocation, movement,
and temperature are logged. The work uses two types of smart contracts based on
Ethereum-based blockchain technology (BCT) environment as the operational backbone
written in the Solidity language. The first smart contract deals with custody and
the second smart contract deals with shipment or transportation to track the produce.
The food supply chain process evaluates the collected data from the IoT sensors managed
with the help of blockchain andMQTT servers. The quality of food is measured by
evaluatingby temperature and humidity function, transition time, final item and for validation
of smart contracts. Performance evaluation of IBFS in terms of Gas cost under
various test conditions prove the effectiveness of the work.</t>
  </si>
  <si>
    <t>blockchain, food supply chain, IoT</t>
  </si>
  <si>
    <t>Research gate</t>
  </si>
  <si>
    <t>Artnice Mega Fathima1, Laila Rahmawati1,*, Anjar Windarsih1,2, and Suratno1</t>
  </si>
  <si>
    <t>Advanced Halal Authentication Methods and
Technology for Addressing Non-Compliance
Concerns in Halal Meat and Meat Products
Supply Chain: A Review</t>
  </si>
  <si>
    <t>https://doi.org/10.5851/kosfa.2024.e75</t>
  </si>
  <si>
    <t>Religious beliefs have a significant impact on consumer preferences, particularly
in relation to food choices. Islam, like other religions, imposes specific dietary guidelines,
notably regarding meat and meat products. However, ensuring compliance with halal
standards across the entire meat and meat products supply chain presents considerable
challenges. Instances of non-compliance, including improper slaughtering techniques,
mislabeling, adulteration, and contamination, have caused concerns about the authenticity
of halal status. To address these concerns, this review explores recent advancements in
halal authentication methods and technology, focusing on practical objectives aimed at
addressing non-compliance issues. It categorizes methods into four main areas of noncompliance
concerns, providing a unique perspective compared to earlier reviews that
primarily examined the progression of analytical methods. This classification offers a
comprehensive analysis of the field’s current status, facilitating the identification of
research gaps and strategic recommendations for enhancing future halal authentication
methods. Through the implementation of this novel approach, the review seeks to
promote the development of a more robust framework for evaluating halal meat and meat
products, safeguarding consumer trust and ensuring adherence to religious dietary
guidelines in the future.</t>
  </si>
  <si>
    <t>halal, meat, meat products, non-compliance concerns, halal authentication methods</t>
  </si>
  <si>
    <t>Review Paper</t>
  </si>
  <si>
    <t>Food Science of Animal Resources</t>
  </si>
  <si>
    <t>Yusof</t>
  </si>
  <si>
    <t>Image Segmentation and Verification Based on
Machine Learning for Vision Inspection of Chicken
Slaughtering</t>
  </si>
  <si>
    <t>doi:10.1088/1742-6596/1447/1/012024</t>
  </si>
  <si>
    <t>According to the Islamic Law, one of the procedures in halal slaughtering of chicken
is the step of severing the trachea, esophagus and both the carotid arteries and jugular veins to
accelerate the chicken’s bleeding and death. Syariah Compliance Automated Chicken
Processing System (SYCUT) uses the Vision Inspection Technology to detect and classify
whether a chicken is halal or not. The lack of quality and halal assurance in chicken processing
industry made it a need to produce such technology. The system implements image processing
techniques and artificial intelligence approach, particularly the Viola and Jones object detection
framework for esophagus detection. The results of the experiment from two different sites are
81.8% and 55% respectively. The detection module shows a result of 95.6% and 93.5% also
from two different sites which are accuracy as good as a human personnel.</t>
  </si>
  <si>
    <t>Conference Series</t>
  </si>
  <si>
    <t>Journal of Physics:
Conference Series</t>
  </si>
  <si>
    <t>Pei Chi Ng1 Nur Amy Syahira Ahmad Ruslan1 Ling Xuan Chin1
Musa Ahmad2 Sharina Abu Hanifah3 Zanariah Abdullah1 Sook Mei Khor1</t>
  </si>
  <si>
    <t>Recent advances in halal food authentication: Challenges
and strategies</t>
  </si>
  <si>
    <t>DOI: 10.1111/1750-3841.15998</t>
  </si>
  <si>
    <t>Increasing public awareness of food quality and safety has prompted
a rapid increase in food authentication of halal food, which covers the production
method, technical processing, identification of undeclared components, and
species substitution in halal food products. This urges for extensive research into
analytical methods to obtain accurate and reliable results for monitoring and
controlling the authenticity of halal food. Nonetheless, authentication of halal
food is often challenging because of the complex nature of food and the increasing
number of food adulterants that cause detection difficulties. This review provides
a comprehensive and impartial overview of recent studies on the analytical
techniques used in the analysis of halal food authenticity (from 1980 to the
present, but there has been no significant trend in the choice of techniques for
authentication of halal food during this period). Additionally, this review highlights
the classification of different methodologies based on validity measures
that provide valuable information for future developments in advanced technology.
In addition, methodological developments, and novel emerging techniques
as well as their implementations have been explored in the evaluation of halal
food authentication. This includes food categories that require halal authentication,
illustrating the advantages and disadvantages as well as shortcomings during
the use of all approaches in the halal food industry.</t>
  </si>
  <si>
    <t>biosensor, electronic nose, food adulteration, gelatin, halal food authentication, haram, polymerase
chain reaction</t>
  </si>
  <si>
    <t>Institute of Food Technologists</t>
  </si>
  <si>
    <t>Wildan Fajar Bachtiar, Nur Aini Masruroh and Anna Maria Sri Asih</t>
  </si>
  <si>
    <t>Halal food sustainable traceability
framework for the meat
processing industry</t>
  </si>
  <si>
    <t>https://www.emerald.com/insight/content/doi/10.1108/jima-12-2023-0412/full/pdf?title=halal-food-sustainable-traceability-framework-for-the-meat-processing-industry</t>
  </si>
  <si>
    <t>Purpose – This study aims to propose a framework for Halal Food Sustainable Traceability, with the
purpose of investigating the implementation of traceability and sustainability within organizations operating
in the halal food industry as well as exploring the impact of these practices on organizational performance.
This study examines the meat processing sector in Indonesia, focusing on medium to large-scale industrial
operations. The rationale for this investigation stems from Indonesia’s substantial potential in the competitive
worldwide halal food industry.
Design/methodology/approach – The research framework has been developed by an extensive review
of relevant literature, with a specific emphasis on the cycle of the halal food sustainable traceability
framework. This cycle encompasses four key stages, including the roles played by authorities, the process of
standardization, the implementation phase and the importance of collaboration. The study analyses and
validates data using partial least square-structural equation modeling and empirically tests the theoretical
framework using 109 Indonesian halal food industry data.
Findings – The research identifies potential obstacles and difficulties that may arise during different
phases of the halal food sustainable traceability framework. Concerns regarding authority,
standardization, implementation and collaboration are among these. In addition, strategies for
overcoming these obstacles are deliberated upon, including knowledge sharing, transparency, ongoing
reporting and strategic collaboration.
Originality/value – The present study introduces a Halal Sustainable Traceability Framework that
incorporates the principles of halal, traceability, sustainability and their effects on organizational
performance. This study offers significant perspectives on the difficulties and resolutions pertaining to the
traceability and sustainability of halal food in Indonesia.</t>
  </si>
  <si>
    <t>Halal food, Traceability, Certification, Supply chain, Framework, Sustainability</t>
  </si>
  <si>
    <t>Emerald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</si>
</sst>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12"/>
      <color theme="1"/>
      <name val="Times New Roman"/>
      <family val="1"/>
    </font>
    <font>
      <sz val="11"/>
      <color theme="1"/>
      <name val="Times New Roman"/>
      <family val="1"/>
    </font>
    <font>
      <sz val="12"/>
      <color theme="1"/>
      <name val="Times New Roman"/>
      <family val="1"/>
    </font>
    <font>
      <sz val="12"/>
      <name val="Times New Roman"/>
      <family val="1"/>
    </font>
    <font>
      <u/>
      <sz val="12"/>
      <color theme="10"/>
      <name val="Times New Roman"/>
      <family val="1"/>
    </font>
    <font>
      <sz val="12"/>
      <color rgb="FF111111"/>
      <name val="Times New Roman"/>
      <family val="1"/>
    </font>
    <font>
      <u/>
      <sz val="11"/>
      <color theme="10"/>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vertical="center"/>
    </xf>
    <xf numFmtId="0" fontId="5" fillId="2" borderId="0" xfId="0" applyFont="1" applyFill="1"/>
    <xf numFmtId="0" fontId="6" fillId="0" borderId="0" xfId="1" applyFont="1"/>
    <xf numFmtId="0" fontId="7" fillId="0" borderId="0" xfId="0" applyFont="1"/>
    <xf numFmtId="0" fontId="8"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tabSelected="1" workbookViewId="0">
      <selection activeCell="P24" sqref="P24"/>
    </sheetView>
  </sheetViews>
  <sheetFormatPr defaultRowHeight="15" x14ac:dyDescent="0.25"/>
  <cols>
    <col min="1" max="16384" width="9.140625" style="2"/>
  </cols>
  <sheetData>
    <row r="1" spans="1:10" ht="15.75" x14ac:dyDescent="0.25">
      <c r="A1" s="1" t="s">
        <v>0</v>
      </c>
      <c r="B1" s="1" t="s">
        <v>1</v>
      </c>
      <c r="C1" s="1" t="s">
        <v>2</v>
      </c>
      <c r="D1" s="1" t="s">
        <v>3</v>
      </c>
      <c r="E1" s="1" t="s">
        <v>4</v>
      </c>
      <c r="F1" s="1" t="s">
        <v>5</v>
      </c>
      <c r="G1" s="1" t="s">
        <v>6</v>
      </c>
      <c r="H1" s="1" t="s">
        <v>7</v>
      </c>
      <c r="I1" s="1" t="s">
        <v>8</v>
      </c>
      <c r="J1" s="1" t="s">
        <v>9</v>
      </c>
    </row>
    <row r="2" spans="1:10" ht="15.75" x14ac:dyDescent="0.25">
      <c r="A2" s="3" t="s">
        <v>10</v>
      </c>
      <c r="B2" s="3" t="s">
        <v>11</v>
      </c>
      <c r="C2" s="3">
        <v>2025</v>
      </c>
      <c r="D2" s="3" t="s">
        <v>12</v>
      </c>
      <c r="E2" s="3" t="s">
        <v>13</v>
      </c>
      <c r="F2" s="3" t="s">
        <v>14</v>
      </c>
      <c r="G2" s="3" t="s">
        <v>15</v>
      </c>
      <c r="H2" s="3" t="s">
        <v>16</v>
      </c>
      <c r="I2" s="3">
        <v>1</v>
      </c>
      <c r="J2" s="3"/>
    </row>
    <row r="3" spans="1:10" ht="15.75" x14ac:dyDescent="0.25">
      <c r="A3" s="3" t="s">
        <v>17</v>
      </c>
      <c r="B3" s="3" t="s">
        <v>18</v>
      </c>
      <c r="C3" s="3">
        <v>2023</v>
      </c>
      <c r="D3" s="3" t="s">
        <v>19</v>
      </c>
      <c r="E3" s="4" t="s">
        <v>20</v>
      </c>
      <c r="F3" s="4" t="s">
        <v>21</v>
      </c>
      <c r="G3" s="3"/>
      <c r="H3" s="3" t="s">
        <v>22</v>
      </c>
      <c r="I3" s="3">
        <v>1</v>
      </c>
      <c r="J3" s="3"/>
    </row>
    <row r="4" spans="1:10" ht="15.75" x14ac:dyDescent="0.25">
      <c r="A4" s="3" t="s">
        <v>23</v>
      </c>
      <c r="B4" s="3" t="s">
        <v>24</v>
      </c>
      <c r="C4" s="3">
        <v>2023</v>
      </c>
      <c r="D4" s="3" t="s">
        <v>25</v>
      </c>
      <c r="E4" s="3" t="s">
        <v>26</v>
      </c>
      <c r="F4" s="3" t="s">
        <v>27</v>
      </c>
      <c r="G4" s="3" t="s">
        <v>28</v>
      </c>
      <c r="H4" s="3" t="s">
        <v>29</v>
      </c>
      <c r="I4" s="3">
        <v>1</v>
      </c>
      <c r="J4" s="3"/>
    </row>
    <row r="5" spans="1:10" ht="15.75" x14ac:dyDescent="0.25">
      <c r="A5" s="5" t="s">
        <v>30</v>
      </c>
      <c r="B5" s="5" t="s">
        <v>31</v>
      </c>
      <c r="C5" s="5">
        <v>2024</v>
      </c>
      <c r="D5" s="5" t="str">
        <f>HYPERLINK("http://dx.doi.org/10.1080/13675567.2023.2217772","http://dx.doi.org/10.1080/13675567.2023.2217772")</f>
        <v>http://dx.doi.org/10.1080/13675567.2023.2217772</v>
      </c>
      <c r="E5" s="5" t="s">
        <v>32</v>
      </c>
      <c r="F5" s="5" t="s">
        <v>33</v>
      </c>
      <c r="G5" s="5" t="s">
        <v>28</v>
      </c>
      <c r="H5" s="5" t="str">
        <f>HYPERLINK("https%3A%2F%2Fwww.webofscience.com%2Fwos%2Fwoscc%2Ffull-record%2F","View Full Record in Web of Science")</f>
        <v>View Full Record in Web of Science</v>
      </c>
      <c r="I5" s="3">
        <v>1</v>
      </c>
      <c r="J5" s="3"/>
    </row>
    <row r="6" spans="1:10" ht="15.75" x14ac:dyDescent="0.25">
      <c r="A6" s="3" t="s">
        <v>34</v>
      </c>
      <c r="B6" s="3" t="s">
        <v>35</v>
      </c>
      <c r="C6" s="3">
        <v>2023</v>
      </c>
      <c r="D6" s="3" t="s">
        <v>36</v>
      </c>
      <c r="E6" s="3" t="s">
        <v>37</v>
      </c>
      <c r="F6" s="3"/>
      <c r="G6" s="3" t="s">
        <v>38</v>
      </c>
      <c r="H6" s="3" t="s">
        <v>29</v>
      </c>
      <c r="I6" s="3">
        <v>1</v>
      </c>
      <c r="J6" s="3"/>
    </row>
    <row r="7" spans="1:10" ht="15.75" x14ac:dyDescent="0.25">
      <c r="A7" s="3" t="s">
        <v>39</v>
      </c>
      <c r="B7" s="3" t="s">
        <v>40</v>
      </c>
      <c r="C7" s="3">
        <v>2024</v>
      </c>
      <c r="D7" s="3" t="s">
        <v>41</v>
      </c>
      <c r="E7" s="3" t="s">
        <v>42</v>
      </c>
      <c r="F7" s="3" t="s">
        <v>43</v>
      </c>
      <c r="G7" s="3"/>
      <c r="H7" s="3" t="s">
        <v>28</v>
      </c>
      <c r="I7" s="3">
        <v>1</v>
      </c>
      <c r="J7" s="3"/>
    </row>
    <row r="8" spans="1:10" ht="15.75" x14ac:dyDescent="0.25">
      <c r="A8" s="3" t="s">
        <v>44</v>
      </c>
      <c r="B8" s="3" t="s">
        <v>45</v>
      </c>
      <c r="C8" s="3">
        <v>2023</v>
      </c>
      <c r="D8" s="3" t="s">
        <v>46</v>
      </c>
      <c r="E8" s="3" t="s">
        <v>47</v>
      </c>
      <c r="F8" s="3" t="s">
        <v>48</v>
      </c>
      <c r="G8" s="3" t="s">
        <v>28</v>
      </c>
      <c r="H8" s="3" t="s">
        <v>29</v>
      </c>
      <c r="I8" s="3">
        <v>1</v>
      </c>
      <c r="J8" s="3"/>
    </row>
    <row r="9" spans="1:10" ht="15.75" x14ac:dyDescent="0.25">
      <c r="A9" s="5" t="s">
        <v>49</v>
      </c>
      <c r="B9" s="5" t="s">
        <v>50</v>
      </c>
      <c r="C9" s="5">
        <v>2022</v>
      </c>
      <c r="D9" s="5" t="str">
        <f>HYPERLINK("http://dx.doi.org/10.3390/su14010083","http://dx.doi.org/10.3390/su14010083")</f>
        <v>http://dx.doi.org/10.3390/su14010083</v>
      </c>
      <c r="E9" s="5" t="s">
        <v>51</v>
      </c>
      <c r="F9" s="5" t="s">
        <v>52</v>
      </c>
      <c r="G9" s="5" t="s">
        <v>28</v>
      </c>
      <c r="H9" s="5" t="str">
        <f>HYPERLINK("https%3A%2F%2Fwww.webofscience.com%2Fwos%2Fwoscc%2Ffull-record%2F","View Full Record in Web of Science")</f>
        <v>View Full Record in Web of Science</v>
      </c>
      <c r="I9" s="3">
        <v>1</v>
      </c>
      <c r="J9" s="3"/>
    </row>
    <row r="10" spans="1:10" ht="15.75" x14ac:dyDescent="0.25">
      <c r="A10" s="3" t="s">
        <v>53</v>
      </c>
      <c r="B10" s="3" t="s">
        <v>54</v>
      </c>
      <c r="C10" s="3">
        <v>2025</v>
      </c>
      <c r="D10" s="3" t="s">
        <v>55</v>
      </c>
      <c r="E10" s="3" t="s">
        <v>56</v>
      </c>
      <c r="F10" s="3" t="s">
        <v>57</v>
      </c>
      <c r="G10" s="3" t="s">
        <v>58</v>
      </c>
      <c r="H10" s="3" t="s">
        <v>29</v>
      </c>
      <c r="I10" s="3">
        <v>1</v>
      </c>
      <c r="J10" s="3"/>
    </row>
    <row r="11" spans="1:10" ht="15.75" x14ac:dyDescent="0.25">
      <c r="A11" s="3" t="s">
        <v>59</v>
      </c>
      <c r="B11" s="3" t="s">
        <v>60</v>
      </c>
      <c r="C11" s="3">
        <v>2025</v>
      </c>
      <c r="D11" s="3" t="s">
        <v>61</v>
      </c>
      <c r="E11" s="3" t="s">
        <v>62</v>
      </c>
      <c r="F11" s="3" t="s">
        <v>63</v>
      </c>
      <c r="G11" s="3" t="s">
        <v>28</v>
      </c>
      <c r="H11" s="3" t="s">
        <v>29</v>
      </c>
      <c r="I11" s="3">
        <v>1</v>
      </c>
      <c r="J11" s="3"/>
    </row>
    <row r="12" spans="1:10" ht="15.75" x14ac:dyDescent="0.25">
      <c r="A12" s="3" t="s">
        <v>64</v>
      </c>
      <c r="B12" s="3" t="s">
        <v>65</v>
      </c>
      <c r="C12" s="3">
        <v>2024</v>
      </c>
      <c r="D12" s="3" t="s">
        <v>66</v>
      </c>
      <c r="E12" s="3" t="s">
        <v>67</v>
      </c>
      <c r="F12" s="3" t="s">
        <v>68</v>
      </c>
      <c r="G12" s="3" t="s">
        <v>38</v>
      </c>
      <c r="H12" s="3" t="s">
        <v>29</v>
      </c>
      <c r="I12" s="3">
        <v>1</v>
      </c>
      <c r="J12" s="3"/>
    </row>
    <row r="13" spans="1:10" ht="15.75" x14ac:dyDescent="0.25">
      <c r="A13" s="3" t="s">
        <v>69</v>
      </c>
      <c r="B13" s="3" t="s">
        <v>70</v>
      </c>
      <c r="C13" s="3">
        <v>2025</v>
      </c>
      <c r="D13" s="3" t="s">
        <v>71</v>
      </c>
      <c r="E13" s="3" t="s">
        <v>72</v>
      </c>
      <c r="F13" s="3" t="s">
        <v>73</v>
      </c>
      <c r="G13" s="3" t="s">
        <v>28</v>
      </c>
      <c r="H13" s="3" t="s">
        <v>29</v>
      </c>
      <c r="I13" s="3">
        <v>1</v>
      </c>
      <c r="J13" s="3"/>
    </row>
    <row r="14" spans="1:10" ht="15.75" x14ac:dyDescent="0.25">
      <c r="A14" s="3" t="s">
        <v>74</v>
      </c>
      <c r="B14" s="3" t="s">
        <v>75</v>
      </c>
      <c r="C14" s="3">
        <v>2022</v>
      </c>
      <c r="D14" s="3" t="s">
        <v>76</v>
      </c>
      <c r="E14" s="3" t="s">
        <v>77</v>
      </c>
      <c r="F14" s="3" t="s">
        <v>78</v>
      </c>
      <c r="G14" s="3" t="s">
        <v>58</v>
      </c>
      <c r="H14" s="3" t="s">
        <v>29</v>
      </c>
      <c r="I14" s="3">
        <v>1</v>
      </c>
      <c r="J14" s="3"/>
    </row>
    <row r="15" spans="1:10" ht="15.75" x14ac:dyDescent="0.25">
      <c r="A15" s="3" t="s">
        <v>79</v>
      </c>
      <c r="B15" s="3" t="s">
        <v>80</v>
      </c>
      <c r="C15" s="3">
        <v>2023</v>
      </c>
      <c r="D15" s="3" t="s">
        <v>81</v>
      </c>
      <c r="E15" s="3" t="s">
        <v>82</v>
      </c>
      <c r="F15" s="3"/>
      <c r="G15" s="3" t="s">
        <v>83</v>
      </c>
      <c r="H15" s="3" t="s">
        <v>29</v>
      </c>
      <c r="I15" s="3">
        <v>1</v>
      </c>
      <c r="J15" s="3"/>
    </row>
    <row r="16" spans="1:10" ht="15.75" x14ac:dyDescent="0.25">
      <c r="A16" s="3" t="s">
        <v>84</v>
      </c>
      <c r="B16" s="3" t="s">
        <v>85</v>
      </c>
      <c r="C16" s="3">
        <v>2024</v>
      </c>
      <c r="D16" s="3" t="s">
        <v>86</v>
      </c>
      <c r="E16" s="3" t="s">
        <v>87</v>
      </c>
      <c r="F16" s="3" t="s">
        <v>88</v>
      </c>
      <c r="G16" s="3" t="s">
        <v>83</v>
      </c>
      <c r="H16" s="3" t="s">
        <v>29</v>
      </c>
      <c r="I16" s="3">
        <v>1</v>
      </c>
      <c r="J16" s="3"/>
    </row>
    <row r="17" spans="1:10" ht="15.75" x14ac:dyDescent="0.25">
      <c r="A17" s="3" t="s">
        <v>89</v>
      </c>
      <c r="B17" s="3" t="s">
        <v>90</v>
      </c>
      <c r="C17" s="3">
        <v>2023</v>
      </c>
      <c r="D17" s="3" t="s">
        <v>91</v>
      </c>
      <c r="E17" s="3" t="s">
        <v>92</v>
      </c>
      <c r="F17" s="4" t="s">
        <v>93</v>
      </c>
      <c r="G17" s="3"/>
      <c r="H17" s="3" t="s">
        <v>22</v>
      </c>
      <c r="I17" s="3">
        <v>1</v>
      </c>
      <c r="J17" s="3"/>
    </row>
    <row r="18" spans="1:10" ht="15.75" x14ac:dyDescent="0.25">
      <c r="A18" s="3" t="s">
        <v>94</v>
      </c>
      <c r="B18" s="3" t="s">
        <v>95</v>
      </c>
      <c r="C18" s="3">
        <v>2025</v>
      </c>
      <c r="D18" s="3" t="s">
        <v>96</v>
      </c>
      <c r="E18" s="3" t="s">
        <v>97</v>
      </c>
      <c r="F18" s="3" t="s">
        <v>98</v>
      </c>
      <c r="G18" s="3"/>
      <c r="H18" s="3" t="s">
        <v>83</v>
      </c>
      <c r="I18" s="3">
        <v>1</v>
      </c>
      <c r="J18" s="3"/>
    </row>
    <row r="19" spans="1:10" ht="15.75" x14ac:dyDescent="0.25">
      <c r="A19" s="3" t="s">
        <v>99</v>
      </c>
      <c r="B19" s="3" t="s">
        <v>100</v>
      </c>
      <c r="C19" s="3">
        <v>2022</v>
      </c>
      <c r="D19" s="3" t="s">
        <v>101</v>
      </c>
      <c r="E19" s="3" t="s">
        <v>102</v>
      </c>
      <c r="F19" s="3" t="s">
        <v>103</v>
      </c>
      <c r="G19" s="3" t="s">
        <v>83</v>
      </c>
      <c r="H19" s="3" t="s">
        <v>29</v>
      </c>
      <c r="I19" s="3">
        <v>1</v>
      </c>
      <c r="J19" s="3"/>
    </row>
    <row r="20" spans="1:10" ht="15.75" x14ac:dyDescent="0.25">
      <c r="A20" s="3" t="s">
        <v>104</v>
      </c>
      <c r="B20" s="3" t="s">
        <v>105</v>
      </c>
      <c r="C20" s="3">
        <v>2023</v>
      </c>
      <c r="D20" s="3" t="s">
        <v>106</v>
      </c>
      <c r="E20" s="3" t="s">
        <v>107</v>
      </c>
      <c r="F20" s="3"/>
      <c r="G20" s="3" t="s">
        <v>83</v>
      </c>
      <c r="H20" s="3" t="s">
        <v>29</v>
      </c>
      <c r="I20" s="3">
        <v>1</v>
      </c>
      <c r="J20" s="3"/>
    </row>
    <row r="21" spans="1:10" ht="15.75" x14ac:dyDescent="0.25">
      <c r="A21" s="3" t="s">
        <v>108</v>
      </c>
      <c r="B21" s="3" t="s">
        <v>109</v>
      </c>
      <c r="C21" s="3">
        <v>2025</v>
      </c>
      <c r="D21" s="3" t="s">
        <v>110</v>
      </c>
      <c r="E21" s="3" t="s">
        <v>111</v>
      </c>
      <c r="F21" s="3" t="s">
        <v>112</v>
      </c>
      <c r="G21" s="3" t="s">
        <v>113</v>
      </c>
      <c r="H21" s="3" t="s">
        <v>22</v>
      </c>
      <c r="I21" s="3">
        <v>1</v>
      </c>
      <c r="J21" s="3"/>
    </row>
    <row r="22" spans="1:10" ht="15.75" x14ac:dyDescent="0.25">
      <c r="A22" s="3" t="s">
        <v>114</v>
      </c>
      <c r="B22" s="3" t="s">
        <v>115</v>
      </c>
      <c r="C22" s="3">
        <v>2023</v>
      </c>
      <c r="D22" s="3" t="s">
        <v>116</v>
      </c>
      <c r="E22" s="3" t="s">
        <v>117</v>
      </c>
      <c r="F22" s="3"/>
      <c r="G22" s="3" t="s">
        <v>118</v>
      </c>
      <c r="H22" s="3" t="s">
        <v>29</v>
      </c>
      <c r="I22" s="3">
        <v>1</v>
      </c>
      <c r="J22" s="3"/>
    </row>
    <row r="23" spans="1:10" ht="15.75" x14ac:dyDescent="0.25">
      <c r="A23" s="3" t="s">
        <v>119</v>
      </c>
      <c r="B23" s="3" t="s">
        <v>120</v>
      </c>
      <c r="C23" s="3">
        <v>2024</v>
      </c>
      <c r="D23" s="3" t="s">
        <v>121</v>
      </c>
      <c r="E23" s="3" t="s">
        <v>122</v>
      </c>
      <c r="F23" s="3"/>
      <c r="G23" s="3" t="s">
        <v>118</v>
      </c>
      <c r="H23" s="3" t="s">
        <v>29</v>
      </c>
      <c r="I23" s="3">
        <v>1</v>
      </c>
      <c r="J23" s="3"/>
    </row>
    <row r="24" spans="1:10" ht="15.75" x14ac:dyDescent="0.25">
      <c r="A24" s="3" t="s">
        <v>123</v>
      </c>
      <c r="B24" s="3" t="s">
        <v>124</v>
      </c>
      <c r="C24" s="3">
        <v>2024</v>
      </c>
      <c r="D24" s="3" t="s">
        <v>125</v>
      </c>
      <c r="E24" s="3" t="s">
        <v>126</v>
      </c>
      <c r="F24" s="3" t="s">
        <v>127</v>
      </c>
      <c r="G24" s="3" t="s">
        <v>83</v>
      </c>
      <c r="H24" s="3" t="s">
        <v>29</v>
      </c>
      <c r="I24" s="3">
        <v>1</v>
      </c>
      <c r="J24" s="3"/>
    </row>
    <row r="25" spans="1:10" ht="15.75" x14ac:dyDescent="0.25">
      <c r="A25" s="3" t="s">
        <v>128</v>
      </c>
      <c r="B25" s="3" t="s">
        <v>129</v>
      </c>
      <c r="C25" s="3">
        <v>2020</v>
      </c>
      <c r="D25" s="6" t="s">
        <v>130</v>
      </c>
      <c r="E25" s="3" t="s">
        <v>131</v>
      </c>
      <c r="F25" s="3" t="s">
        <v>132</v>
      </c>
      <c r="G25" s="3" t="s">
        <v>15</v>
      </c>
      <c r="H25" s="3" t="s">
        <v>16</v>
      </c>
      <c r="I25" s="3">
        <v>1</v>
      </c>
      <c r="J25" s="3"/>
    </row>
    <row r="26" spans="1:10" ht="15.75" x14ac:dyDescent="0.25">
      <c r="A26" s="3" t="s">
        <v>133</v>
      </c>
      <c r="B26" s="3" t="s">
        <v>134</v>
      </c>
      <c r="C26" s="3">
        <v>2023</v>
      </c>
      <c r="D26" s="3" t="s">
        <v>135</v>
      </c>
      <c r="E26" s="3" t="s">
        <v>136</v>
      </c>
      <c r="F26" s="3" t="s">
        <v>137</v>
      </c>
      <c r="G26" s="3" t="s">
        <v>138</v>
      </c>
      <c r="H26" s="3" t="s">
        <v>139</v>
      </c>
      <c r="I26" s="3">
        <v>1</v>
      </c>
      <c r="J26" s="3"/>
    </row>
    <row r="27" spans="1:10" ht="15.75" x14ac:dyDescent="0.25">
      <c r="A27" s="3" t="s">
        <v>140</v>
      </c>
      <c r="B27" s="3" t="s">
        <v>141</v>
      </c>
      <c r="C27" s="3">
        <v>2022</v>
      </c>
      <c r="D27" s="6" t="s">
        <v>142</v>
      </c>
      <c r="E27" s="3" t="s">
        <v>143</v>
      </c>
      <c r="F27" s="3" t="s">
        <v>144</v>
      </c>
      <c r="G27" s="3" t="s">
        <v>15</v>
      </c>
      <c r="H27" s="3" t="s">
        <v>16</v>
      </c>
      <c r="I27" s="3">
        <v>1</v>
      </c>
      <c r="J27" s="3"/>
    </row>
    <row r="28" spans="1:10" ht="15.75" x14ac:dyDescent="0.25">
      <c r="A28" s="3" t="s">
        <v>145</v>
      </c>
      <c r="B28" s="3" t="s">
        <v>146</v>
      </c>
      <c r="C28" s="3">
        <v>2023</v>
      </c>
      <c r="D28" s="6" t="s">
        <v>147</v>
      </c>
      <c r="E28" s="3" t="s">
        <v>148</v>
      </c>
      <c r="F28" s="3" t="s">
        <v>149</v>
      </c>
      <c r="G28" s="3" t="s">
        <v>15</v>
      </c>
      <c r="H28" s="3" t="s">
        <v>16</v>
      </c>
      <c r="I28" s="3">
        <v>1</v>
      </c>
      <c r="J28" s="3"/>
    </row>
    <row r="29" spans="1:10" ht="15.75" x14ac:dyDescent="0.25">
      <c r="A29" s="3" t="s">
        <v>150</v>
      </c>
      <c r="B29" s="3" t="s">
        <v>151</v>
      </c>
      <c r="C29" s="3">
        <v>2025</v>
      </c>
      <c r="D29" s="3" t="s">
        <v>152</v>
      </c>
      <c r="E29" s="3" t="s">
        <v>153</v>
      </c>
      <c r="F29" s="3" t="s">
        <v>154</v>
      </c>
      <c r="G29" s="3" t="s">
        <v>28</v>
      </c>
      <c r="H29" s="3" t="s">
        <v>29</v>
      </c>
      <c r="I29" s="3">
        <v>1</v>
      </c>
      <c r="J29" s="3"/>
    </row>
    <row r="30" spans="1:10" ht="15.75" x14ac:dyDescent="0.25">
      <c r="A30" s="3" t="s">
        <v>155</v>
      </c>
      <c r="B30" s="3" t="s">
        <v>156</v>
      </c>
      <c r="C30" s="3">
        <v>2025</v>
      </c>
      <c r="D30" s="3" t="s">
        <v>157</v>
      </c>
      <c r="E30" s="3" t="s">
        <v>158</v>
      </c>
      <c r="F30" s="3" t="s">
        <v>159</v>
      </c>
      <c r="G30" s="3" t="s">
        <v>15</v>
      </c>
      <c r="H30" s="3" t="s">
        <v>16</v>
      </c>
      <c r="I30" s="3">
        <v>1</v>
      </c>
      <c r="J30" s="3"/>
    </row>
    <row r="31" spans="1:10" ht="15.75" x14ac:dyDescent="0.25">
      <c r="A31" s="3" t="s">
        <v>160</v>
      </c>
      <c r="B31" s="3" t="s">
        <v>161</v>
      </c>
      <c r="C31" s="3">
        <v>2021</v>
      </c>
      <c r="D31" s="3" t="s">
        <v>162</v>
      </c>
      <c r="E31" s="3" t="s">
        <v>163</v>
      </c>
      <c r="F31" s="3" t="s">
        <v>164</v>
      </c>
      <c r="G31" s="3" t="s">
        <v>38</v>
      </c>
      <c r="H31" s="3" t="s">
        <v>29</v>
      </c>
      <c r="I31" s="3">
        <v>1</v>
      </c>
      <c r="J31" s="3"/>
    </row>
    <row r="32" spans="1:10" ht="15.75" x14ac:dyDescent="0.25">
      <c r="A32" s="3" t="s">
        <v>165</v>
      </c>
      <c r="B32" s="3" t="s">
        <v>166</v>
      </c>
      <c r="C32" s="3">
        <v>2025</v>
      </c>
      <c r="D32" s="3" t="s">
        <v>167</v>
      </c>
      <c r="E32" s="4" t="s">
        <v>168</v>
      </c>
      <c r="F32" s="3" t="s">
        <v>169</v>
      </c>
      <c r="G32" s="3"/>
      <c r="H32" s="3" t="s">
        <v>22</v>
      </c>
      <c r="I32" s="3">
        <v>1</v>
      </c>
      <c r="J32" s="3"/>
    </row>
    <row r="33" spans="1:10" ht="15.75" x14ac:dyDescent="0.25">
      <c r="A33" s="5" t="s">
        <v>170</v>
      </c>
      <c r="B33" s="5" t="s">
        <v>171</v>
      </c>
      <c r="C33" s="5">
        <v>2025</v>
      </c>
      <c r="D33" s="5" t="str">
        <f>HYPERLINK("http://dx.doi.org/10.3390/systems13010021","http://dx.doi.org/10.3390/systems13010021")</f>
        <v>http://dx.doi.org/10.3390/systems13010021</v>
      </c>
      <c r="E33" s="5" t="s">
        <v>172</v>
      </c>
      <c r="F33" s="5" t="s">
        <v>173</v>
      </c>
      <c r="G33" s="5" t="s">
        <v>28</v>
      </c>
      <c r="H33" s="5" t="str">
        <f>HYPERLINK("https%3A%2F%2Fwww.webofscience.com%2Fwos%2Fwoscc%2Ffull-record%2F","View Full Record in Web of Science")</f>
        <v>View Full Record in Web of Science</v>
      </c>
      <c r="I33" s="3">
        <v>1</v>
      </c>
      <c r="J33" s="3"/>
    </row>
    <row r="34" spans="1:10" ht="15.75" x14ac:dyDescent="0.25">
      <c r="A34" s="3" t="s">
        <v>174</v>
      </c>
      <c r="B34" s="3" t="s">
        <v>175</v>
      </c>
      <c r="C34" s="3">
        <v>2020</v>
      </c>
      <c r="D34" s="3" t="s">
        <v>176</v>
      </c>
      <c r="E34" s="3" t="s">
        <v>177</v>
      </c>
      <c r="F34" s="3" t="s">
        <v>178</v>
      </c>
      <c r="G34" s="3" t="s">
        <v>138</v>
      </c>
      <c r="H34" s="3" t="s">
        <v>139</v>
      </c>
      <c r="I34" s="3">
        <v>1</v>
      </c>
      <c r="J34" s="3"/>
    </row>
    <row r="35" spans="1:10" ht="15.75" x14ac:dyDescent="0.25">
      <c r="A35" s="3" t="s">
        <v>179</v>
      </c>
      <c r="B35" s="3" t="s">
        <v>180</v>
      </c>
      <c r="C35" s="3">
        <v>2021</v>
      </c>
      <c r="D35" s="3" t="s">
        <v>181</v>
      </c>
      <c r="E35" s="3" t="s">
        <v>182</v>
      </c>
      <c r="F35" s="3" t="s">
        <v>183</v>
      </c>
      <c r="G35" s="3" t="s">
        <v>38</v>
      </c>
      <c r="H35" s="3" t="s">
        <v>29</v>
      </c>
      <c r="I35" s="3">
        <v>1</v>
      </c>
      <c r="J35" s="3"/>
    </row>
    <row r="36" spans="1:10" ht="15.75" x14ac:dyDescent="0.25">
      <c r="A36" s="5" t="s">
        <v>184</v>
      </c>
      <c r="B36" s="5" t="s">
        <v>185</v>
      </c>
      <c r="C36" s="5">
        <v>2021</v>
      </c>
      <c r="D36" s="5" t="str">
        <f>HYPERLINK("http://dx.doi.org/10.1109/IEEM50564.2021.9673084","http://dx.doi.org/10.1109/IEEM50564.2021.9673084")</f>
        <v>http://dx.doi.org/10.1109/IEEM50564.2021.9673084</v>
      </c>
      <c r="E36" s="5" t="s">
        <v>186</v>
      </c>
      <c r="F36" s="5" t="s">
        <v>187</v>
      </c>
      <c r="G36" s="5" t="s">
        <v>188</v>
      </c>
      <c r="H36" s="5" t="str">
        <f>HYPERLINK("https%3A%2F%2Fwww.webofscience.com%2Fwos%2Fwoscc%2Ffull-record%2F","View Full Record in Web of Science")</f>
        <v>View Full Record in Web of Science</v>
      </c>
      <c r="I36" s="3">
        <v>1</v>
      </c>
      <c r="J36" s="3"/>
    </row>
    <row r="37" spans="1:10" ht="15.75" x14ac:dyDescent="0.25">
      <c r="A37" s="3" t="s">
        <v>189</v>
      </c>
      <c r="B37" s="3" t="s">
        <v>190</v>
      </c>
      <c r="C37" s="3">
        <v>2022</v>
      </c>
      <c r="D37" s="3" t="s">
        <v>191</v>
      </c>
      <c r="E37" s="3" t="s">
        <v>192</v>
      </c>
      <c r="F37" s="3" t="s">
        <v>193</v>
      </c>
      <c r="G37" s="3" t="s">
        <v>38</v>
      </c>
      <c r="H37" s="3" t="s">
        <v>29</v>
      </c>
      <c r="I37" s="3">
        <v>1</v>
      </c>
      <c r="J37" s="3"/>
    </row>
    <row r="38" spans="1:10" ht="15.75" x14ac:dyDescent="0.25">
      <c r="A38" s="3" t="s">
        <v>194</v>
      </c>
      <c r="B38" s="3" t="s">
        <v>195</v>
      </c>
      <c r="C38" s="3">
        <v>2024</v>
      </c>
      <c r="D38" s="3" t="s">
        <v>196</v>
      </c>
      <c r="E38" s="3" t="s">
        <v>197</v>
      </c>
      <c r="F38" s="3" t="s">
        <v>198</v>
      </c>
      <c r="G38" s="3" t="s">
        <v>38</v>
      </c>
      <c r="H38" s="3" t="s">
        <v>29</v>
      </c>
      <c r="I38" s="3">
        <v>1</v>
      </c>
      <c r="J38" s="3"/>
    </row>
    <row r="39" spans="1:10" ht="15.75" x14ac:dyDescent="0.25">
      <c r="A39" s="4" t="s">
        <v>199</v>
      </c>
      <c r="B39" s="3" t="s">
        <v>200</v>
      </c>
      <c r="C39" s="3">
        <v>2024</v>
      </c>
      <c r="D39" s="3" t="s">
        <v>201</v>
      </c>
      <c r="E39" s="4" t="s">
        <v>202</v>
      </c>
      <c r="F39" s="3" t="s">
        <v>203</v>
      </c>
      <c r="G39" s="3"/>
      <c r="H39" s="3" t="s">
        <v>22</v>
      </c>
      <c r="I39" s="3">
        <v>1</v>
      </c>
      <c r="J39" s="3"/>
    </row>
    <row r="40" spans="1:10" ht="15.75" x14ac:dyDescent="0.25">
      <c r="A40" s="3" t="s">
        <v>204</v>
      </c>
      <c r="B40" s="3" t="s">
        <v>205</v>
      </c>
      <c r="C40" s="3">
        <v>2023</v>
      </c>
      <c r="D40" s="6" t="s">
        <v>206</v>
      </c>
      <c r="E40" s="3" t="s">
        <v>207</v>
      </c>
      <c r="F40" s="3"/>
      <c r="G40" s="3" t="s">
        <v>208</v>
      </c>
      <c r="H40" s="3" t="s">
        <v>16</v>
      </c>
      <c r="I40" s="3">
        <v>1</v>
      </c>
      <c r="J40" s="3"/>
    </row>
    <row r="41" spans="1:10" ht="15.75" x14ac:dyDescent="0.25">
      <c r="A41" s="3" t="s">
        <v>209</v>
      </c>
      <c r="B41" s="3" t="s">
        <v>210</v>
      </c>
      <c r="C41" s="3">
        <v>2021</v>
      </c>
      <c r="D41" s="3" t="s">
        <v>211</v>
      </c>
      <c r="E41" s="3" t="s">
        <v>212</v>
      </c>
      <c r="F41" s="3" t="s">
        <v>213</v>
      </c>
      <c r="G41" s="3" t="s">
        <v>15</v>
      </c>
      <c r="H41" s="3" t="s">
        <v>16</v>
      </c>
      <c r="I41" s="3">
        <v>1</v>
      </c>
      <c r="J41" s="3"/>
    </row>
    <row r="42" spans="1:10" ht="15.75" x14ac:dyDescent="0.25">
      <c r="A42" s="3" t="s">
        <v>214</v>
      </c>
      <c r="B42" s="3" t="s">
        <v>215</v>
      </c>
      <c r="C42" s="3">
        <v>2025</v>
      </c>
      <c r="D42" s="3" t="s">
        <v>216</v>
      </c>
      <c r="E42" s="3" t="s">
        <v>217</v>
      </c>
      <c r="F42" s="3" t="s">
        <v>218</v>
      </c>
      <c r="G42" s="3"/>
      <c r="H42" s="3" t="s">
        <v>22</v>
      </c>
      <c r="I42" s="3">
        <v>1</v>
      </c>
      <c r="J42" s="3"/>
    </row>
    <row r="43" spans="1:10" ht="15.75" x14ac:dyDescent="0.25">
      <c r="A43" s="3" t="s">
        <v>219</v>
      </c>
      <c r="B43" s="3" t="s">
        <v>220</v>
      </c>
      <c r="C43" s="3">
        <v>2023</v>
      </c>
      <c r="D43" s="3" t="s">
        <v>221</v>
      </c>
      <c r="E43" s="3" t="s">
        <v>222</v>
      </c>
      <c r="F43" s="3"/>
      <c r="G43" s="3" t="s">
        <v>83</v>
      </c>
      <c r="H43" s="3" t="s">
        <v>29</v>
      </c>
      <c r="I43" s="3">
        <v>1</v>
      </c>
      <c r="J43" s="3"/>
    </row>
    <row r="44" spans="1:10" ht="15.75" x14ac:dyDescent="0.25">
      <c r="A44" s="3" t="s">
        <v>223</v>
      </c>
      <c r="B44" s="3" t="s">
        <v>224</v>
      </c>
      <c r="C44" s="3">
        <v>2022</v>
      </c>
      <c r="D44" s="3" t="s">
        <v>225</v>
      </c>
      <c r="E44" s="3" t="s">
        <v>226</v>
      </c>
      <c r="F44" s="3" t="s">
        <v>227</v>
      </c>
      <c r="G44" s="3"/>
      <c r="H44" s="3" t="s">
        <v>22</v>
      </c>
      <c r="I44" s="3">
        <v>1</v>
      </c>
      <c r="J44" s="3"/>
    </row>
    <row r="45" spans="1:10" ht="15.75" x14ac:dyDescent="0.25">
      <c r="A45" s="3" t="s">
        <v>228</v>
      </c>
      <c r="B45" s="3" t="s">
        <v>229</v>
      </c>
      <c r="C45" s="3">
        <v>2024</v>
      </c>
      <c r="D45" s="3" t="s">
        <v>230</v>
      </c>
      <c r="E45" s="3" t="s">
        <v>231</v>
      </c>
      <c r="F45" s="3" t="s">
        <v>232</v>
      </c>
      <c r="G45" s="3"/>
      <c r="H45" s="3" t="s">
        <v>22</v>
      </c>
      <c r="I45" s="3">
        <v>1</v>
      </c>
      <c r="J45" s="3"/>
    </row>
    <row r="46" spans="1:10" ht="15.75" x14ac:dyDescent="0.25">
      <c r="A46" s="3" t="s">
        <v>233</v>
      </c>
      <c r="B46" s="3" t="s">
        <v>234</v>
      </c>
      <c r="C46" s="3">
        <v>2025</v>
      </c>
      <c r="D46" s="3" t="s">
        <v>235</v>
      </c>
      <c r="E46" s="4" t="s">
        <v>236</v>
      </c>
      <c r="F46" s="4" t="s">
        <v>237</v>
      </c>
      <c r="G46" s="3"/>
      <c r="H46" s="3" t="s">
        <v>22</v>
      </c>
      <c r="I46" s="3">
        <v>1</v>
      </c>
      <c r="J46" s="3"/>
    </row>
    <row r="47" spans="1:10" ht="15.75" x14ac:dyDescent="0.25">
      <c r="A47" s="3" t="s">
        <v>238</v>
      </c>
      <c r="B47" s="3" t="s">
        <v>239</v>
      </c>
      <c r="C47" s="3">
        <v>2021</v>
      </c>
      <c r="D47" s="3" t="s">
        <v>240</v>
      </c>
      <c r="E47" s="3" t="s">
        <v>241</v>
      </c>
      <c r="F47" s="3" t="s">
        <v>242</v>
      </c>
      <c r="G47" s="3" t="s">
        <v>28</v>
      </c>
      <c r="H47" s="3" t="s">
        <v>29</v>
      </c>
      <c r="I47" s="3">
        <v>1</v>
      </c>
      <c r="J47" s="3"/>
    </row>
    <row r="48" spans="1:10" ht="15.75" x14ac:dyDescent="0.25">
      <c r="A48" s="3" t="s">
        <v>243</v>
      </c>
      <c r="B48" s="3" t="s">
        <v>244</v>
      </c>
      <c r="C48" s="3">
        <v>2020</v>
      </c>
      <c r="D48" s="3" t="s">
        <v>245</v>
      </c>
      <c r="E48" s="3" t="s">
        <v>246</v>
      </c>
      <c r="F48" s="3" t="s">
        <v>247</v>
      </c>
      <c r="G48" s="3" t="s">
        <v>28</v>
      </c>
      <c r="H48" s="3" t="s">
        <v>29</v>
      </c>
      <c r="I48" s="3">
        <v>1</v>
      </c>
      <c r="J48" s="3"/>
    </row>
    <row r="49" spans="1:10" ht="15.75" x14ac:dyDescent="0.25">
      <c r="A49" s="3" t="s">
        <v>248</v>
      </c>
      <c r="B49" s="3" t="s">
        <v>249</v>
      </c>
      <c r="C49" s="3">
        <v>2023</v>
      </c>
      <c r="D49" s="3" t="s">
        <v>250</v>
      </c>
      <c r="E49" s="3" t="s">
        <v>251</v>
      </c>
      <c r="F49" s="3" t="s">
        <v>252</v>
      </c>
      <c r="G49" s="3"/>
      <c r="H49" s="3" t="s">
        <v>22</v>
      </c>
      <c r="I49" s="3">
        <v>1</v>
      </c>
      <c r="J49" s="3"/>
    </row>
    <row r="50" spans="1:10" ht="15.75" x14ac:dyDescent="0.25">
      <c r="A50" s="3" t="s">
        <v>253</v>
      </c>
      <c r="B50" s="3" t="s">
        <v>254</v>
      </c>
      <c r="C50" s="3">
        <v>2024</v>
      </c>
      <c r="D50" s="3" t="s">
        <v>255</v>
      </c>
      <c r="E50" s="3" t="s">
        <v>256</v>
      </c>
      <c r="F50" s="3" t="s">
        <v>257</v>
      </c>
      <c r="G50" s="3"/>
      <c r="H50" s="3" t="s">
        <v>22</v>
      </c>
      <c r="I50" s="3">
        <v>1</v>
      </c>
      <c r="J50" s="3"/>
    </row>
    <row r="51" spans="1:10" ht="15.75" x14ac:dyDescent="0.25">
      <c r="A51" s="3" t="s">
        <v>258</v>
      </c>
      <c r="B51" s="3" t="s">
        <v>259</v>
      </c>
      <c r="C51" s="3">
        <v>2017</v>
      </c>
      <c r="D51" s="6" t="s">
        <v>260</v>
      </c>
      <c r="E51" s="3" t="s">
        <v>261</v>
      </c>
      <c r="F51" s="3"/>
      <c r="G51" s="3" t="s">
        <v>208</v>
      </c>
      <c r="H51" s="3" t="s">
        <v>16</v>
      </c>
      <c r="I51" s="3">
        <v>1</v>
      </c>
      <c r="J51" s="3"/>
    </row>
    <row r="52" spans="1:10" ht="15.75" x14ac:dyDescent="0.25">
      <c r="A52" s="3" t="s">
        <v>262</v>
      </c>
      <c r="B52" s="3" t="s">
        <v>263</v>
      </c>
      <c r="C52" s="3">
        <v>2020</v>
      </c>
      <c r="D52" s="3" t="s">
        <v>264</v>
      </c>
      <c r="E52" s="3" t="s">
        <v>265</v>
      </c>
      <c r="F52" s="3" t="s">
        <v>266</v>
      </c>
      <c r="G52" s="3"/>
      <c r="H52" s="3" t="s">
        <v>58</v>
      </c>
      <c r="I52" s="3">
        <v>1</v>
      </c>
      <c r="J52" s="3"/>
    </row>
    <row r="53" spans="1:10" ht="15.75" x14ac:dyDescent="0.25">
      <c r="A53" s="3" t="s">
        <v>267</v>
      </c>
      <c r="B53" s="3" t="s">
        <v>268</v>
      </c>
      <c r="C53" s="3">
        <v>2022</v>
      </c>
      <c r="D53" s="3" t="s">
        <v>269</v>
      </c>
      <c r="E53" s="3" t="s">
        <v>270</v>
      </c>
      <c r="F53" s="3" t="s">
        <v>271</v>
      </c>
      <c r="G53" s="3" t="s">
        <v>38</v>
      </c>
      <c r="H53" s="3" t="s">
        <v>29</v>
      </c>
      <c r="I53" s="3">
        <v>1</v>
      </c>
      <c r="J53" s="3"/>
    </row>
    <row r="54" spans="1:10" ht="15.75" x14ac:dyDescent="0.25">
      <c r="A54" s="3" t="s">
        <v>272</v>
      </c>
      <c r="B54" s="3" t="s">
        <v>273</v>
      </c>
      <c r="C54" s="3">
        <v>2022</v>
      </c>
      <c r="D54" s="3" t="s">
        <v>274</v>
      </c>
      <c r="E54" s="3" t="s">
        <v>275</v>
      </c>
      <c r="F54" s="3" t="s">
        <v>276</v>
      </c>
      <c r="G54" s="3" t="s">
        <v>58</v>
      </c>
      <c r="H54" s="3" t="s">
        <v>29</v>
      </c>
      <c r="I54" s="3">
        <v>1</v>
      </c>
      <c r="J54" s="3"/>
    </row>
    <row r="55" spans="1:10" ht="15.75" x14ac:dyDescent="0.25">
      <c r="A55" s="3" t="s">
        <v>277</v>
      </c>
      <c r="B55" s="3" t="s">
        <v>278</v>
      </c>
      <c r="C55" s="3">
        <v>2024</v>
      </c>
      <c r="D55" s="3" t="s">
        <v>279</v>
      </c>
      <c r="E55" s="3" t="s">
        <v>280</v>
      </c>
      <c r="F55" s="3" t="s">
        <v>281</v>
      </c>
      <c r="G55" s="3" t="s">
        <v>28</v>
      </c>
      <c r="H55" s="3" t="s">
        <v>29</v>
      </c>
      <c r="I55" s="3">
        <v>1</v>
      </c>
      <c r="J55" s="3"/>
    </row>
    <row r="56" spans="1:10" ht="15.75" x14ac:dyDescent="0.25">
      <c r="A56" s="3" t="s">
        <v>282</v>
      </c>
      <c r="B56" s="3" t="s">
        <v>283</v>
      </c>
      <c r="C56" s="3">
        <v>2021</v>
      </c>
      <c r="D56" s="3" t="s">
        <v>284</v>
      </c>
      <c r="E56" s="3" t="s">
        <v>285</v>
      </c>
      <c r="F56" s="3" t="s">
        <v>286</v>
      </c>
      <c r="G56" s="3" t="s">
        <v>38</v>
      </c>
      <c r="H56" s="3" t="s">
        <v>29</v>
      </c>
      <c r="I56" s="3">
        <v>1</v>
      </c>
      <c r="J56" s="3"/>
    </row>
    <row r="57" spans="1:10" ht="15.75" x14ac:dyDescent="0.25">
      <c r="A57" s="3" t="s">
        <v>287</v>
      </c>
      <c r="B57" s="3" t="s">
        <v>288</v>
      </c>
      <c r="C57" s="3">
        <v>2024</v>
      </c>
      <c r="D57" s="3" t="s">
        <v>289</v>
      </c>
      <c r="E57" s="3" t="s">
        <v>290</v>
      </c>
      <c r="F57" s="3" t="s">
        <v>291</v>
      </c>
      <c r="G57" s="3" t="s">
        <v>83</v>
      </c>
      <c r="H57" s="3" t="s">
        <v>29</v>
      </c>
      <c r="I57" s="3">
        <v>1</v>
      </c>
      <c r="J57" s="3"/>
    </row>
    <row r="58" spans="1:10" ht="15.75" x14ac:dyDescent="0.25">
      <c r="A58" s="5" t="s">
        <v>292</v>
      </c>
      <c r="B58" s="5" t="s">
        <v>293</v>
      </c>
      <c r="C58" s="5">
        <v>2025</v>
      </c>
      <c r="D58" s="5" t="str">
        <f>HYPERLINK("http://dx.doi.org/10.1016/j.foodcont.2024.111003","http://dx.doi.org/10.1016/j.foodcont.2024.111003")</f>
        <v>http://dx.doi.org/10.1016/j.foodcont.2024.111003</v>
      </c>
      <c r="E58" s="5" t="s">
        <v>294</v>
      </c>
      <c r="F58" s="5" t="s">
        <v>295</v>
      </c>
      <c r="G58" s="5" t="s">
        <v>58</v>
      </c>
      <c r="H58" s="5" t="str">
        <f>HYPERLINK("https%3A%2F%2Fwww.webofscience.com%2Fwos%2Fwoscc%2Ffull-record%2F","View Full Record in Web of Science")</f>
        <v>View Full Record in Web of Science</v>
      </c>
      <c r="I58" s="3">
        <v>1</v>
      </c>
      <c r="J58" s="3"/>
    </row>
    <row r="59" spans="1:10" ht="15.75" x14ac:dyDescent="0.25">
      <c r="A59" s="3" t="s">
        <v>296</v>
      </c>
      <c r="B59" s="3" t="s">
        <v>297</v>
      </c>
      <c r="C59" s="3">
        <v>2023</v>
      </c>
      <c r="D59" s="3" t="s">
        <v>298</v>
      </c>
      <c r="E59" s="3" t="s">
        <v>299</v>
      </c>
      <c r="F59" s="3" t="s">
        <v>300</v>
      </c>
      <c r="G59" s="3"/>
      <c r="H59" s="3" t="s">
        <v>22</v>
      </c>
      <c r="I59" s="3">
        <v>1</v>
      </c>
      <c r="J59" s="3"/>
    </row>
    <row r="60" spans="1:10" ht="15.75" x14ac:dyDescent="0.25">
      <c r="A60" s="3" t="s">
        <v>301</v>
      </c>
      <c r="B60" s="3" t="s">
        <v>302</v>
      </c>
      <c r="C60" s="3">
        <v>2021</v>
      </c>
      <c r="D60" s="3" t="s">
        <v>303</v>
      </c>
      <c r="E60" s="3" t="s">
        <v>304</v>
      </c>
      <c r="F60" s="3" t="s">
        <v>305</v>
      </c>
      <c r="G60" s="3" t="s">
        <v>28</v>
      </c>
      <c r="H60" s="3" t="s">
        <v>29</v>
      </c>
      <c r="I60" s="3">
        <v>1</v>
      </c>
      <c r="J60" s="3"/>
    </row>
    <row r="61" spans="1:10" ht="15.75" x14ac:dyDescent="0.25">
      <c r="A61" s="3" t="s">
        <v>306</v>
      </c>
      <c r="B61" s="3" t="s">
        <v>307</v>
      </c>
      <c r="C61" s="3">
        <v>2019</v>
      </c>
      <c r="D61" s="3" t="s">
        <v>308</v>
      </c>
      <c r="E61" s="3" t="s">
        <v>309</v>
      </c>
      <c r="F61" s="3" t="s">
        <v>310</v>
      </c>
      <c r="G61" s="3" t="s">
        <v>28</v>
      </c>
      <c r="H61" s="3" t="s">
        <v>29</v>
      </c>
      <c r="I61" s="3">
        <v>1</v>
      </c>
      <c r="J61" s="3"/>
    </row>
    <row r="62" spans="1:10" ht="15.75" x14ac:dyDescent="0.25">
      <c r="A62" s="3" t="s">
        <v>311</v>
      </c>
      <c r="B62" s="3" t="s">
        <v>312</v>
      </c>
      <c r="C62" s="3">
        <v>2024</v>
      </c>
      <c r="D62" s="3" t="s">
        <v>313</v>
      </c>
      <c r="E62" s="3" t="s">
        <v>314</v>
      </c>
      <c r="F62" s="3" t="s">
        <v>315</v>
      </c>
      <c r="G62" s="3" t="s">
        <v>58</v>
      </c>
      <c r="H62" s="3" t="s">
        <v>29</v>
      </c>
      <c r="I62" s="3">
        <v>1</v>
      </c>
      <c r="J62" s="3"/>
    </row>
    <row r="63" spans="1:10" ht="15.75" x14ac:dyDescent="0.25">
      <c r="A63" s="3" t="s">
        <v>316</v>
      </c>
      <c r="B63" s="3" t="s">
        <v>317</v>
      </c>
      <c r="C63" s="3">
        <v>2021</v>
      </c>
      <c r="D63" s="3" t="s">
        <v>318</v>
      </c>
      <c r="E63" s="3" t="s">
        <v>319</v>
      </c>
      <c r="F63" s="3" t="s">
        <v>320</v>
      </c>
      <c r="G63" s="3" t="s">
        <v>138</v>
      </c>
      <c r="H63" s="3" t="s">
        <v>139</v>
      </c>
      <c r="I63" s="3">
        <v>1</v>
      </c>
      <c r="J63" s="3"/>
    </row>
    <row r="64" spans="1:10" ht="15.75" x14ac:dyDescent="0.25">
      <c r="A64" s="3" t="s">
        <v>321</v>
      </c>
      <c r="B64" s="3" t="s">
        <v>322</v>
      </c>
      <c r="C64" s="3">
        <v>2021</v>
      </c>
      <c r="D64" s="3" t="s">
        <v>323</v>
      </c>
      <c r="E64" s="3" t="s">
        <v>324</v>
      </c>
      <c r="F64" s="3" t="s">
        <v>325</v>
      </c>
      <c r="G64" s="3"/>
      <c r="H64" s="3" t="s">
        <v>22</v>
      </c>
      <c r="I64" s="3">
        <v>1</v>
      </c>
      <c r="J64" s="3"/>
    </row>
    <row r="65" spans="1:10" ht="15.75" x14ac:dyDescent="0.25">
      <c r="A65" s="3" t="s">
        <v>326</v>
      </c>
      <c r="B65" s="3" t="s">
        <v>327</v>
      </c>
      <c r="C65" s="3">
        <v>2024</v>
      </c>
      <c r="D65" s="3" t="s">
        <v>328</v>
      </c>
      <c r="E65" s="3" t="s">
        <v>329</v>
      </c>
      <c r="F65" s="3" t="s">
        <v>330</v>
      </c>
      <c r="G65" s="3" t="s">
        <v>28</v>
      </c>
      <c r="H65" s="3" t="s">
        <v>29</v>
      </c>
      <c r="I65" s="3">
        <v>1</v>
      </c>
      <c r="J65" s="3"/>
    </row>
    <row r="66" spans="1:10" ht="15.75" x14ac:dyDescent="0.25">
      <c r="A66" s="3" t="s">
        <v>331</v>
      </c>
      <c r="B66" s="3" t="s">
        <v>332</v>
      </c>
      <c r="C66" s="3">
        <v>2024</v>
      </c>
      <c r="D66" s="3" t="s">
        <v>333</v>
      </c>
      <c r="E66" s="3" t="s">
        <v>334</v>
      </c>
      <c r="F66" s="3" t="s">
        <v>335</v>
      </c>
      <c r="G66" s="3" t="s">
        <v>28</v>
      </c>
      <c r="H66" s="3" t="s">
        <v>29</v>
      </c>
      <c r="I66" s="3">
        <v>1</v>
      </c>
      <c r="J66" s="3"/>
    </row>
    <row r="67" spans="1:10" ht="15.75" x14ac:dyDescent="0.25">
      <c r="A67" s="3" t="s">
        <v>336</v>
      </c>
      <c r="B67" s="3" t="s">
        <v>337</v>
      </c>
      <c r="C67" s="3">
        <v>2024</v>
      </c>
      <c r="D67" s="6" t="s">
        <v>338</v>
      </c>
      <c r="E67" s="3" t="s">
        <v>339</v>
      </c>
      <c r="F67" s="3"/>
      <c r="G67" s="3" t="s">
        <v>15</v>
      </c>
      <c r="H67" s="3" t="s">
        <v>16</v>
      </c>
      <c r="I67" s="3">
        <v>1</v>
      </c>
      <c r="J67" s="3"/>
    </row>
    <row r="68" spans="1:10" ht="15.75" x14ac:dyDescent="0.25">
      <c r="A68" s="3" t="s">
        <v>340</v>
      </c>
      <c r="B68" s="3" t="s">
        <v>341</v>
      </c>
      <c r="C68" s="3">
        <v>2022</v>
      </c>
      <c r="D68" s="3" t="s">
        <v>342</v>
      </c>
      <c r="E68" s="3" t="s">
        <v>343</v>
      </c>
      <c r="F68" s="3" t="s">
        <v>344</v>
      </c>
      <c r="G68" s="3" t="s">
        <v>28</v>
      </c>
      <c r="H68" s="3" t="s">
        <v>29</v>
      </c>
      <c r="I68" s="3">
        <v>1</v>
      </c>
      <c r="J68" s="3"/>
    </row>
    <row r="69" spans="1:10" ht="15.75" x14ac:dyDescent="0.25">
      <c r="A69" s="3" t="s">
        <v>345</v>
      </c>
      <c r="B69" s="3" t="s">
        <v>346</v>
      </c>
      <c r="C69" s="3">
        <v>2024</v>
      </c>
      <c r="D69" s="6" t="s">
        <v>347</v>
      </c>
      <c r="E69" s="3" t="s">
        <v>348</v>
      </c>
      <c r="F69" s="3" t="s">
        <v>349</v>
      </c>
      <c r="G69" s="3" t="s">
        <v>15</v>
      </c>
      <c r="H69" s="3" t="s">
        <v>16</v>
      </c>
      <c r="I69" s="3">
        <v>1</v>
      </c>
      <c r="J69" s="3"/>
    </row>
    <row r="70" spans="1:10" ht="15.75" x14ac:dyDescent="0.25">
      <c r="A70" s="3" t="s">
        <v>350</v>
      </c>
      <c r="B70" s="3" t="s">
        <v>351</v>
      </c>
      <c r="C70" s="3">
        <v>2025</v>
      </c>
      <c r="D70" s="3" t="s">
        <v>352</v>
      </c>
      <c r="E70" s="3" t="s">
        <v>353</v>
      </c>
      <c r="F70" s="3" t="s">
        <v>354</v>
      </c>
      <c r="G70" s="3" t="s">
        <v>28</v>
      </c>
      <c r="H70" s="3" t="s">
        <v>29</v>
      </c>
      <c r="I70" s="3">
        <v>1</v>
      </c>
      <c r="J70" s="3"/>
    </row>
    <row r="71" spans="1:10" ht="15.75" x14ac:dyDescent="0.25">
      <c r="A71" s="3" t="s">
        <v>355</v>
      </c>
      <c r="B71" s="3" t="s">
        <v>356</v>
      </c>
      <c r="C71" s="3">
        <v>2021</v>
      </c>
      <c r="D71" s="3" t="s">
        <v>357</v>
      </c>
      <c r="E71" s="3" t="s">
        <v>358</v>
      </c>
      <c r="F71" s="3" t="s">
        <v>359</v>
      </c>
      <c r="G71" s="3" t="s">
        <v>28</v>
      </c>
      <c r="H71" s="3" t="s">
        <v>29</v>
      </c>
      <c r="I71" s="3">
        <v>1</v>
      </c>
      <c r="J71" s="3"/>
    </row>
    <row r="72" spans="1:10" ht="15.75" x14ac:dyDescent="0.25">
      <c r="A72" s="3" t="s">
        <v>360</v>
      </c>
      <c r="B72" s="3" t="s">
        <v>361</v>
      </c>
      <c r="C72" s="3">
        <v>2023</v>
      </c>
      <c r="D72" s="3" t="s">
        <v>362</v>
      </c>
      <c r="E72" s="3" t="s">
        <v>363</v>
      </c>
      <c r="F72" s="3" t="s">
        <v>364</v>
      </c>
      <c r="G72" s="3" t="s">
        <v>28</v>
      </c>
      <c r="H72" s="3" t="s">
        <v>29</v>
      </c>
      <c r="I72" s="3">
        <v>1</v>
      </c>
      <c r="J72" s="3"/>
    </row>
    <row r="73" spans="1:10" ht="15.75" x14ac:dyDescent="0.25">
      <c r="A73" s="3" t="s">
        <v>365</v>
      </c>
      <c r="B73" s="3" t="s">
        <v>366</v>
      </c>
      <c r="C73" s="3">
        <v>2024</v>
      </c>
      <c r="D73" s="3" t="s">
        <v>367</v>
      </c>
      <c r="E73" s="3" t="s">
        <v>368</v>
      </c>
      <c r="F73" s="4" t="s">
        <v>369</v>
      </c>
      <c r="G73" s="3"/>
      <c r="H73" s="3" t="s">
        <v>22</v>
      </c>
      <c r="I73" s="3">
        <v>1</v>
      </c>
      <c r="J73" s="3"/>
    </row>
    <row r="74" spans="1:10" ht="15.75" x14ac:dyDescent="0.25">
      <c r="A74" s="5" t="s">
        <v>370</v>
      </c>
      <c r="B74" s="5" t="s">
        <v>371</v>
      </c>
      <c r="C74" s="5">
        <v>2022</v>
      </c>
      <c r="D74" s="5" t="str">
        <f>HYPERLINK("http://dx.doi.org/10.1080/13675567.2020.1825653","http://dx.doi.org/10.1080/13675567.2020.1825653")</f>
        <v>http://dx.doi.org/10.1080/13675567.2020.1825653</v>
      </c>
      <c r="E74" s="5" t="s">
        <v>372</v>
      </c>
      <c r="F74" s="5" t="s">
        <v>373</v>
      </c>
      <c r="G74" s="5" t="s">
        <v>28</v>
      </c>
      <c r="H74" s="5" t="str">
        <f>HYPERLINK("https%3A%2F%2Fwww.webofscience.com%2Fwos%2Fwoscc%2Ffull-record%2F","View Full Record in Web of Science")</f>
        <v>View Full Record in Web of Science</v>
      </c>
      <c r="I74" s="3">
        <v>1</v>
      </c>
      <c r="J74" s="3"/>
    </row>
    <row r="75" spans="1:10" ht="15.75" x14ac:dyDescent="0.25">
      <c r="A75" s="3" t="s">
        <v>374</v>
      </c>
      <c r="B75" s="3" t="s">
        <v>375</v>
      </c>
      <c r="C75" s="3">
        <v>2024</v>
      </c>
      <c r="D75" s="3" t="s">
        <v>376</v>
      </c>
      <c r="E75" s="3" t="s">
        <v>377</v>
      </c>
      <c r="F75" s="3" t="s">
        <v>378</v>
      </c>
      <c r="G75" s="3" t="s">
        <v>28</v>
      </c>
      <c r="H75" s="3" t="s">
        <v>29</v>
      </c>
      <c r="I75" s="3">
        <v>1</v>
      </c>
      <c r="J75" s="3"/>
    </row>
    <row r="76" spans="1:10" ht="15.75" x14ac:dyDescent="0.25">
      <c r="A76" s="3" t="s">
        <v>379</v>
      </c>
      <c r="B76" s="3" t="s">
        <v>380</v>
      </c>
      <c r="C76" s="3">
        <v>2021</v>
      </c>
      <c r="D76" s="3" t="s">
        <v>381</v>
      </c>
      <c r="E76" s="3" t="s">
        <v>382</v>
      </c>
      <c r="F76" s="3" t="s">
        <v>383</v>
      </c>
      <c r="G76" s="3" t="s">
        <v>38</v>
      </c>
      <c r="H76" s="3" t="s">
        <v>29</v>
      </c>
      <c r="I76" s="3">
        <v>1</v>
      </c>
      <c r="J76" s="3"/>
    </row>
    <row r="77" spans="1:10" ht="15.75" x14ac:dyDescent="0.25">
      <c r="A77" s="3" t="s">
        <v>384</v>
      </c>
      <c r="B77" s="3" t="s">
        <v>385</v>
      </c>
      <c r="C77" s="3">
        <v>2019</v>
      </c>
      <c r="D77" s="3" t="s">
        <v>386</v>
      </c>
      <c r="E77" s="3" t="s">
        <v>387</v>
      </c>
      <c r="F77" s="3" t="s">
        <v>388</v>
      </c>
      <c r="G77" s="3" t="s">
        <v>138</v>
      </c>
      <c r="H77" s="3" t="s">
        <v>139</v>
      </c>
      <c r="I77" s="3">
        <v>1</v>
      </c>
      <c r="J77" s="3"/>
    </row>
    <row r="78" spans="1:10" ht="15.75" x14ac:dyDescent="0.25">
      <c r="A78" s="3" t="s">
        <v>389</v>
      </c>
      <c r="B78" s="3" t="s">
        <v>390</v>
      </c>
      <c r="C78" s="3">
        <v>2023</v>
      </c>
      <c r="D78" s="3" t="s">
        <v>391</v>
      </c>
      <c r="E78" s="3" t="s">
        <v>392</v>
      </c>
      <c r="F78" s="3"/>
      <c r="G78" s="3" t="s">
        <v>83</v>
      </c>
      <c r="H78" s="3" t="s">
        <v>29</v>
      </c>
      <c r="I78" s="3">
        <v>1</v>
      </c>
      <c r="J78" s="3"/>
    </row>
    <row r="79" spans="1:10" ht="15.75" x14ac:dyDescent="0.25">
      <c r="A79" s="3" t="s">
        <v>393</v>
      </c>
      <c r="B79" s="3" t="s">
        <v>394</v>
      </c>
      <c r="C79" s="3">
        <v>2024</v>
      </c>
      <c r="D79" s="3" t="s">
        <v>395</v>
      </c>
      <c r="E79" s="3" t="s">
        <v>396</v>
      </c>
      <c r="F79" s="3" t="s">
        <v>397</v>
      </c>
      <c r="G79" s="3" t="s">
        <v>83</v>
      </c>
      <c r="H79" s="3" t="s">
        <v>29</v>
      </c>
      <c r="I79" s="3">
        <v>1</v>
      </c>
      <c r="J79" s="3"/>
    </row>
    <row r="80" spans="1:10" ht="15.75" x14ac:dyDescent="0.25">
      <c r="A80" s="3" t="s">
        <v>398</v>
      </c>
      <c r="B80" s="3" t="s">
        <v>399</v>
      </c>
      <c r="C80" s="3">
        <v>2024</v>
      </c>
      <c r="D80" s="3" t="s">
        <v>400</v>
      </c>
      <c r="E80" s="4" t="s">
        <v>401</v>
      </c>
      <c r="F80" s="3" t="s">
        <v>402</v>
      </c>
      <c r="G80" s="3"/>
      <c r="H80" s="3" t="s">
        <v>22</v>
      </c>
      <c r="I80" s="3">
        <v>1</v>
      </c>
      <c r="J80" s="3"/>
    </row>
    <row r="81" spans="1:10" ht="15.75" x14ac:dyDescent="0.25">
      <c r="A81" s="3" t="s">
        <v>403</v>
      </c>
      <c r="B81" s="3" t="s">
        <v>404</v>
      </c>
      <c r="C81" s="3">
        <v>2022</v>
      </c>
      <c r="D81" s="3" t="s">
        <v>405</v>
      </c>
      <c r="E81" s="3" t="s">
        <v>406</v>
      </c>
      <c r="F81" s="3" t="s">
        <v>407</v>
      </c>
      <c r="G81" s="3" t="s">
        <v>28</v>
      </c>
      <c r="H81" s="3" t="s">
        <v>29</v>
      </c>
      <c r="I81" s="3">
        <v>1</v>
      </c>
      <c r="J81" s="3"/>
    </row>
    <row r="82" spans="1:10" ht="15.75" x14ac:dyDescent="0.25">
      <c r="A82" s="3" t="s">
        <v>408</v>
      </c>
      <c r="B82" s="3" t="s">
        <v>409</v>
      </c>
      <c r="C82" s="3">
        <v>2025</v>
      </c>
      <c r="D82" s="6" t="s">
        <v>410</v>
      </c>
      <c r="E82" s="3" t="s">
        <v>411</v>
      </c>
      <c r="F82" s="3" t="s">
        <v>412</v>
      </c>
      <c r="G82" s="3" t="s">
        <v>208</v>
      </c>
      <c r="H82" s="3" t="s">
        <v>16</v>
      </c>
      <c r="I82" s="3">
        <v>1</v>
      </c>
      <c r="J82" s="3"/>
    </row>
    <row r="83" spans="1:10" ht="15.75" x14ac:dyDescent="0.25">
      <c r="A83" s="5" t="s">
        <v>413</v>
      </c>
      <c r="B83" s="5" t="s">
        <v>414</v>
      </c>
      <c r="C83" s="5">
        <v>2024</v>
      </c>
      <c r="D83" s="5" t="str">
        <f>HYPERLINK("http://dx.doi.org/10.1007/978-3-031-63269-3_17","http://dx.doi.org/10.1007/978-3-031-63269-3_17")</f>
        <v>http://dx.doi.org/10.1007/978-3-031-63269-3_17</v>
      </c>
      <c r="E83" s="5" t="s">
        <v>415</v>
      </c>
      <c r="F83" s="5" t="s">
        <v>416</v>
      </c>
      <c r="G83" s="5" t="s">
        <v>188</v>
      </c>
      <c r="H83" s="5" t="str">
        <f>HYPERLINK("https%3A%2F%2Fwww.webofscience.com%2Fwos%2Fwoscc%2Ffull-record%2F","View Full Record in Web of Science")</f>
        <v>View Full Record in Web of Science</v>
      </c>
      <c r="I83" s="3">
        <v>1</v>
      </c>
      <c r="J83" s="3"/>
    </row>
    <row r="84" spans="1:10" ht="15.75" x14ac:dyDescent="0.25">
      <c r="A84" s="3" t="s">
        <v>417</v>
      </c>
      <c r="B84" s="3" t="s">
        <v>418</v>
      </c>
      <c r="C84" s="3">
        <v>2023</v>
      </c>
      <c r="D84" s="6" t="s">
        <v>419</v>
      </c>
      <c r="E84" s="3" t="s">
        <v>420</v>
      </c>
      <c r="F84" s="3" t="s">
        <v>421</v>
      </c>
      <c r="G84" s="3" t="s">
        <v>15</v>
      </c>
      <c r="H84" s="3" t="s">
        <v>16</v>
      </c>
      <c r="I84" s="3">
        <v>1</v>
      </c>
      <c r="J84" s="3"/>
    </row>
    <row r="85" spans="1:10" ht="15.75" x14ac:dyDescent="0.25">
      <c r="A85" s="3" t="s">
        <v>422</v>
      </c>
      <c r="B85" s="3" t="s">
        <v>423</v>
      </c>
      <c r="C85" s="3">
        <v>2025</v>
      </c>
      <c r="D85" s="3" t="s">
        <v>424</v>
      </c>
      <c r="E85" s="3" t="s">
        <v>425</v>
      </c>
      <c r="F85" s="3" t="s">
        <v>426</v>
      </c>
      <c r="G85" s="3"/>
      <c r="H85" s="3" t="s">
        <v>22</v>
      </c>
      <c r="I85" s="3">
        <v>1</v>
      </c>
      <c r="J85" s="3"/>
    </row>
    <row r="86" spans="1:10" ht="15.75" x14ac:dyDescent="0.25">
      <c r="A86" s="5" t="s">
        <v>427</v>
      </c>
      <c r="B86" s="5" t="s">
        <v>428</v>
      </c>
      <c r="C86" s="5">
        <v>2021</v>
      </c>
      <c r="D86" s="5" t="str">
        <f>HYPERLINK("http://dx.doi.org/10.1186/s40537-020-00405-7","http://dx.doi.org/10.1186/s40537-020-00405-7")</f>
        <v>http://dx.doi.org/10.1186/s40537-020-00405-7</v>
      </c>
      <c r="E86" s="5" t="s">
        <v>429</v>
      </c>
      <c r="F86" s="5" t="s">
        <v>430</v>
      </c>
      <c r="G86" s="5" t="s">
        <v>28</v>
      </c>
      <c r="H86" s="5" t="str">
        <f>HYPERLINK("https%3A%2F%2Fwww.webofscience.com%2Fwos%2Fwoscc%2Ffull-record%2F","View Full Record in Web of Science")</f>
        <v>View Full Record in Web of Science</v>
      </c>
      <c r="I86" s="3">
        <v>1</v>
      </c>
      <c r="J86" s="3"/>
    </row>
    <row r="87" spans="1:10" ht="15.75" x14ac:dyDescent="0.25">
      <c r="A87" s="3" t="s">
        <v>431</v>
      </c>
      <c r="B87" s="3" t="s">
        <v>432</v>
      </c>
      <c r="C87" s="3">
        <v>2020</v>
      </c>
      <c r="D87" s="3" t="s">
        <v>433</v>
      </c>
      <c r="E87" s="3" t="s">
        <v>434</v>
      </c>
      <c r="F87" s="3" t="s">
        <v>435</v>
      </c>
      <c r="G87" s="3" t="s">
        <v>15</v>
      </c>
      <c r="H87" s="3" t="s">
        <v>16</v>
      </c>
      <c r="I87" s="3">
        <v>1</v>
      </c>
      <c r="J87" s="3"/>
    </row>
    <row r="88" spans="1:10" ht="15.75" x14ac:dyDescent="0.25">
      <c r="A88" s="3" t="s">
        <v>436</v>
      </c>
      <c r="B88" s="3" t="s">
        <v>437</v>
      </c>
      <c r="C88" s="3">
        <v>2023</v>
      </c>
      <c r="D88" s="3" t="s">
        <v>438</v>
      </c>
      <c r="E88" s="3" t="s">
        <v>439</v>
      </c>
      <c r="F88" s="3" t="s">
        <v>440</v>
      </c>
      <c r="G88" s="3" t="s">
        <v>28</v>
      </c>
      <c r="H88" s="3" t="s">
        <v>29</v>
      </c>
      <c r="I88" s="3">
        <v>1</v>
      </c>
      <c r="J88" s="3"/>
    </row>
    <row r="89" spans="1:10" ht="15.75" x14ac:dyDescent="0.25">
      <c r="A89" s="3" t="s">
        <v>441</v>
      </c>
      <c r="B89" s="3" t="s">
        <v>442</v>
      </c>
      <c r="C89" s="3">
        <v>2025</v>
      </c>
      <c r="D89" s="3" t="s">
        <v>443</v>
      </c>
      <c r="E89" s="3" t="s">
        <v>444</v>
      </c>
      <c r="F89" s="3" t="s">
        <v>445</v>
      </c>
      <c r="G89" s="3" t="s">
        <v>83</v>
      </c>
      <c r="H89" s="3" t="s">
        <v>29</v>
      </c>
      <c r="I89" s="3">
        <v>1</v>
      </c>
      <c r="J89" s="3"/>
    </row>
    <row r="90" spans="1:10" ht="15.75" x14ac:dyDescent="0.25">
      <c r="A90" s="3" t="s">
        <v>446</v>
      </c>
      <c r="B90" s="3" t="s">
        <v>447</v>
      </c>
      <c r="C90" s="3">
        <v>2023</v>
      </c>
      <c r="D90" s="3" t="s">
        <v>448</v>
      </c>
      <c r="E90" s="3" t="s">
        <v>449</v>
      </c>
      <c r="F90" s="3" t="s">
        <v>450</v>
      </c>
      <c r="G90" s="3" t="s">
        <v>38</v>
      </c>
      <c r="H90" s="3" t="s">
        <v>29</v>
      </c>
      <c r="I90" s="3">
        <v>1</v>
      </c>
      <c r="J90" s="3"/>
    </row>
    <row r="91" spans="1:10" ht="15.75" x14ac:dyDescent="0.25">
      <c r="A91" s="3" t="s">
        <v>451</v>
      </c>
      <c r="B91" s="3" t="s">
        <v>452</v>
      </c>
      <c r="C91" s="3">
        <v>2024</v>
      </c>
      <c r="D91" s="3" t="s">
        <v>453</v>
      </c>
      <c r="E91" s="3" t="s">
        <v>454</v>
      </c>
      <c r="F91" s="3" t="s">
        <v>455</v>
      </c>
      <c r="G91" s="3" t="s">
        <v>28</v>
      </c>
      <c r="H91" s="3" t="s">
        <v>29</v>
      </c>
      <c r="I91" s="3">
        <v>1</v>
      </c>
      <c r="J91" s="3"/>
    </row>
    <row r="92" spans="1:10" ht="15.75" x14ac:dyDescent="0.25">
      <c r="A92" s="3" t="s">
        <v>456</v>
      </c>
      <c r="B92" s="3" t="s">
        <v>457</v>
      </c>
      <c r="C92" s="3">
        <v>2022</v>
      </c>
      <c r="D92" s="3" t="s">
        <v>458</v>
      </c>
      <c r="E92" s="3" t="s">
        <v>459</v>
      </c>
      <c r="F92" s="3" t="s">
        <v>460</v>
      </c>
      <c r="G92" s="3" t="s">
        <v>28</v>
      </c>
      <c r="H92" s="3" t="s">
        <v>29</v>
      </c>
      <c r="I92" s="3">
        <v>1</v>
      </c>
      <c r="J92" s="3"/>
    </row>
    <row r="93" spans="1:10" ht="15.75" x14ac:dyDescent="0.25">
      <c r="A93" s="3" t="s">
        <v>461</v>
      </c>
      <c r="B93" s="3" t="s">
        <v>462</v>
      </c>
      <c r="C93" s="3">
        <v>2024</v>
      </c>
      <c r="D93" s="3" t="s">
        <v>463</v>
      </c>
      <c r="E93" s="3" t="s">
        <v>464</v>
      </c>
      <c r="F93" s="3" t="s">
        <v>465</v>
      </c>
      <c r="G93" s="3" t="s">
        <v>28</v>
      </c>
      <c r="H93" s="3" t="s">
        <v>29</v>
      </c>
      <c r="I93" s="3">
        <v>1</v>
      </c>
      <c r="J93" s="3"/>
    </row>
    <row r="94" spans="1:10" ht="15.75" x14ac:dyDescent="0.25">
      <c r="A94" s="3" t="s">
        <v>466</v>
      </c>
      <c r="B94" s="3" t="s">
        <v>467</v>
      </c>
      <c r="C94" s="3">
        <v>2022</v>
      </c>
      <c r="D94" s="3" t="s">
        <v>468</v>
      </c>
      <c r="E94" s="3" t="s">
        <v>469</v>
      </c>
      <c r="F94" s="3" t="s">
        <v>470</v>
      </c>
      <c r="G94" s="3" t="s">
        <v>28</v>
      </c>
      <c r="H94" s="3" t="s">
        <v>29</v>
      </c>
      <c r="I94" s="3">
        <v>1</v>
      </c>
      <c r="J94" s="3"/>
    </row>
    <row r="95" spans="1:10" ht="15.75" x14ac:dyDescent="0.25">
      <c r="A95" s="3" t="s">
        <v>471</v>
      </c>
      <c r="B95" s="3" t="s">
        <v>472</v>
      </c>
      <c r="C95" s="3">
        <v>2024</v>
      </c>
      <c r="D95" s="3" t="s">
        <v>473</v>
      </c>
      <c r="E95" s="3" t="s">
        <v>474</v>
      </c>
      <c r="F95" s="3" t="s">
        <v>475</v>
      </c>
      <c r="G95" s="3" t="s">
        <v>38</v>
      </c>
      <c r="H95" s="3" t="s">
        <v>29</v>
      </c>
      <c r="I95" s="3">
        <v>1</v>
      </c>
      <c r="J95" s="3"/>
    </row>
    <row r="96" spans="1:10" ht="15.75" x14ac:dyDescent="0.25">
      <c r="A96" s="3" t="s">
        <v>476</v>
      </c>
      <c r="B96" s="3" t="s">
        <v>477</v>
      </c>
      <c r="C96" s="3">
        <v>2018</v>
      </c>
      <c r="D96" s="6" t="s">
        <v>478</v>
      </c>
      <c r="E96" s="3" t="s">
        <v>479</v>
      </c>
      <c r="F96" s="3" t="s">
        <v>480</v>
      </c>
      <c r="G96" s="3" t="s">
        <v>15</v>
      </c>
      <c r="H96" s="3" t="s">
        <v>16</v>
      </c>
      <c r="I96" s="3">
        <v>1</v>
      </c>
      <c r="J96" s="3"/>
    </row>
    <row r="97" spans="1:10" ht="15.75" x14ac:dyDescent="0.25">
      <c r="A97" s="3" t="s">
        <v>481</v>
      </c>
      <c r="B97" s="3" t="s">
        <v>482</v>
      </c>
      <c r="C97" s="3">
        <v>2022</v>
      </c>
      <c r="D97" s="6" t="s">
        <v>483</v>
      </c>
      <c r="E97" s="3" t="s">
        <v>484</v>
      </c>
      <c r="F97" s="3" t="s">
        <v>485</v>
      </c>
      <c r="G97" s="3" t="s">
        <v>15</v>
      </c>
      <c r="H97" s="3" t="s">
        <v>16</v>
      </c>
      <c r="I97" s="3">
        <v>1</v>
      </c>
      <c r="J97" s="3"/>
    </row>
    <row r="98" spans="1:10" ht="15.75" x14ac:dyDescent="0.25">
      <c r="A98" s="3" t="s">
        <v>486</v>
      </c>
      <c r="B98" s="3" t="s">
        <v>487</v>
      </c>
      <c r="C98" s="3">
        <v>2024</v>
      </c>
      <c r="D98" s="3" t="s">
        <v>488</v>
      </c>
      <c r="E98" s="3" t="s">
        <v>489</v>
      </c>
      <c r="F98" s="3"/>
      <c r="G98" s="3" t="s">
        <v>38</v>
      </c>
      <c r="H98" s="3" t="s">
        <v>29</v>
      </c>
      <c r="I98" s="3">
        <v>1</v>
      </c>
      <c r="J98" s="3"/>
    </row>
    <row r="99" spans="1:10" ht="15.75" x14ac:dyDescent="0.25">
      <c r="A99" s="3" t="s">
        <v>490</v>
      </c>
      <c r="B99" s="3" t="s">
        <v>491</v>
      </c>
      <c r="C99" s="3">
        <v>2020</v>
      </c>
      <c r="D99" s="3" t="s">
        <v>492</v>
      </c>
      <c r="E99" s="3" t="s">
        <v>493</v>
      </c>
      <c r="F99" s="3" t="s">
        <v>494</v>
      </c>
      <c r="G99" s="3"/>
      <c r="H99" s="3" t="s">
        <v>28</v>
      </c>
      <c r="I99" s="3">
        <v>1</v>
      </c>
      <c r="J99" s="3"/>
    </row>
    <row r="100" spans="1:10" ht="15.75" x14ac:dyDescent="0.25">
      <c r="A100" s="5" t="s">
        <v>495</v>
      </c>
      <c r="B100" s="5" t="s">
        <v>496</v>
      </c>
      <c r="C100" s="5">
        <v>2021</v>
      </c>
      <c r="D100" s="5" t="str">
        <f>HYPERLINK("http://dx.doi.org/10.3389/fbloc.2021.612898","http://dx.doi.org/10.3389/fbloc.2021.612898")</f>
        <v>http://dx.doi.org/10.3389/fbloc.2021.612898</v>
      </c>
      <c r="E100" s="5" t="s">
        <v>497</v>
      </c>
      <c r="F100" s="5" t="s">
        <v>498</v>
      </c>
      <c r="G100" s="5" t="s">
        <v>28</v>
      </c>
      <c r="H100" s="5" t="str">
        <f>HYPERLINK("https%3A%2F%2Fwww.webofscience.com%2Fwos%2Fwoscc%2Ffull-record%2F","View Full Record in Web of Science")</f>
        <v>View Full Record in Web of Science</v>
      </c>
      <c r="I100" s="3">
        <v>1</v>
      </c>
      <c r="J100" s="3"/>
    </row>
    <row r="101" spans="1:10" ht="15.75" x14ac:dyDescent="0.25">
      <c r="A101" s="5" t="s">
        <v>499</v>
      </c>
      <c r="B101" s="5" t="s">
        <v>500</v>
      </c>
      <c r="C101" s="5">
        <v>2025</v>
      </c>
      <c r="D101" s="5" t="str">
        <f>HYPERLINK("http://dx.doi.org/10.3390/foods14071135","http://dx.doi.org/10.3390/foods14071135")</f>
        <v>http://dx.doi.org/10.3390/foods14071135</v>
      </c>
      <c r="E101" s="5" t="s">
        <v>501</v>
      </c>
      <c r="F101" s="5" t="s">
        <v>502</v>
      </c>
      <c r="G101" s="5" t="s">
        <v>58</v>
      </c>
      <c r="H101" s="5" t="str">
        <f>HYPERLINK("https%3A%2F%2Fwww.webofscience.com%2Fwos%2Fwoscc%2Ffull-record%2F","View Full Record in Web of Science")</f>
        <v>View Full Record in Web of Science</v>
      </c>
      <c r="I101" s="3">
        <v>1</v>
      </c>
      <c r="J101" s="3"/>
    </row>
    <row r="102" spans="1:10" ht="15.75" x14ac:dyDescent="0.25">
      <c r="A102" s="5" t="s">
        <v>503</v>
      </c>
      <c r="B102" s="5" t="s">
        <v>504</v>
      </c>
      <c r="C102" s="5">
        <v>2024</v>
      </c>
      <c r="D102" s="5" t="str">
        <f>HYPERLINK("http://dx.doi.org/10.1108/JIMA-03-2023-0069","http://dx.doi.org/10.1108/JIMA-03-2023-0069")</f>
        <v>http://dx.doi.org/10.1108/JIMA-03-2023-0069</v>
      </c>
      <c r="E102" s="5" t="s">
        <v>505</v>
      </c>
      <c r="F102" s="5" t="s">
        <v>506</v>
      </c>
      <c r="G102" s="5" t="s">
        <v>28</v>
      </c>
      <c r="H102" s="5" t="str">
        <f>HYPERLINK("https%3A%2F%2Fwww.webofscience.com%2Fwos%2Fwoscc%2Ffull-record%2F","View Full Record in Web of Science")</f>
        <v>View Full Record in Web of Science</v>
      </c>
      <c r="I102" s="3">
        <v>1</v>
      </c>
      <c r="J102" s="3"/>
    </row>
    <row r="103" spans="1:10" ht="15.75" x14ac:dyDescent="0.25">
      <c r="A103" s="3" t="s">
        <v>507</v>
      </c>
      <c r="B103" s="3" t="s">
        <v>508</v>
      </c>
      <c r="C103" s="3">
        <v>2018</v>
      </c>
      <c r="D103" s="3" t="s">
        <v>509</v>
      </c>
      <c r="E103" s="3" t="s">
        <v>510</v>
      </c>
      <c r="F103" s="7" t="s">
        <v>511</v>
      </c>
      <c r="G103" s="3" t="s">
        <v>208</v>
      </c>
      <c r="H103" s="3" t="s">
        <v>16</v>
      </c>
      <c r="I103" s="3">
        <v>1</v>
      </c>
      <c r="J103" s="3"/>
    </row>
    <row r="104" spans="1:10" ht="15.75" x14ac:dyDescent="0.25">
      <c r="A104" s="5" t="s">
        <v>512</v>
      </c>
      <c r="B104" s="5" t="s">
        <v>513</v>
      </c>
      <c r="C104" s="5">
        <v>2023</v>
      </c>
      <c r="D104" s="5" t="str">
        <f>HYPERLINK("http://dx.doi.org/10.1007/s11042-023-17474-4","http://dx.doi.org/10.1007/s11042-023-17474-4")</f>
        <v>http://dx.doi.org/10.1007/s11042-023-17474-4</v>
      </c>
      <c r="E104" s="5" t="s">
        <v>514</v>
      </c>
      <c r="F104" s="5" t="s">
        <v>515</v>
      </c>
      <c r="G104" s="5" t="s">
        <v>516</v>
      </c>
      <c r="H104" s="5" t="str">
        <f>HYPERLINK("https%3A%2F%2Fwww.webofscience.com%2Fwos%2Fwoscc%2Ffull-record%2F","View Full Record in Web of Science")</f>
        <v>View Full Record in Web of Science</v>
      </c>
      <c r="I104" s="3">
        <v>1</v>
      </c>
      <c r="J104" s="3"/>
    </row>
    <row r="105" spans="1:10" ht="15.75" x14ac:dyDescent="0.25">
      <c r="A105" s="3" t="s">
        <v>517</v>
      </c>
      <c r="B105" s="3" t="s">
        <v>518</v>
      </c>
      <c r="C105" s="3">
        <v>2023</v>
      </c>
      <c r="D105" s="3" t="s">
        <v>519</v>
      </c>
      <c r="E105" s="3" t="s">
        <v>520</v>
      </c>
      <c r="F105" s="3" t="s">
        <v>521</v>
      </c>
      <c r="G105" s="3" t="s">
        <v>28</v>
      </c>
      <c r="H105" s="3" t="s">
        <v>29</v>
      </c>
      <c r="I105" s="3">
        <v>1</v>
      </c>
      <c r="J105" s="3"/>
    </row>
    <row r="106" spans="1:10" ht="15.75" x14ac:dyDescent="0.25">
      <c r="A106" s="5" t="s">
        <v>522</v>
      </c>
      <c r="B106" s="5" t="s">
        <v>523</v>
      </c>
      <c r="C106" s="5">
        <v>2019</v>
      </c>
      <c r="D106" s="5" t="str">
        <f>HYPERLINK("http://dx.doi.org/10.1007/978-3-030-23381-5_9","http://dx.doi.org/10.1007/978-3-030-23381-5_9")</f>
        <v>http://dx.doi.org/10.1007/978-3-030-23381-5_9</v>
      </c>
      <c r="E106" s="5" t="s">
        <v>524</v>
      </c>
      <c r="F106" s="5" t="s">
        <v>525</v>
      </c>
      <c r="G106" s="5" t="s">
        <v>188</v>
      </c>
      <c r="H106" s="5" t="str">
        <f>HYPERLINK("https%3A%2F%2Fwww.webofscience.com%2Fwos%2Fwoscc%2Ffull-record%2F","View Full Record in Web of Science")</f>
        <v>View Full Record in Web of Science</v>
      </c>
      <c r="I106" s="3">
        <v>1</v>
      </c>
      <c r="J106" s="3"/>
    </row>
    <row r="107" spans="1:10" x14ac:dyDescent="0.25">
      <c r="A107" s="2" t="s">
        <v>526</v>
      </c>
      <c r="B107" s="2" t="s">
        <v>527</v>
      </c>
      <c r="C107" s="2">
        <v>2023</v>
      </c>
      <c r="D107" s="8" t="s">
        <v>528</v>
      </c>
      <c r="E107" s="2" t="s">
        <v>529</v>
      </c>
      <c r="F107" s="2" t="s">
        <v>530</v>
      </c>
      <c r="G107" s="2" t="s">
        <v>208</v>
      </c>
      <c r="H107" s="2" t="s">
        <v>531</v>
      </c>
      <c r="I107" s="2">
        <v>1</v>
      </c>
    </row>
    <row r="108" spans="1:10" x14ac:dyDescent="0.25">
      <c r="A108" s="2" t="s">
        <v>532</v>
      </c>
      <c r="B108" s="2" t="s">
        <v>533</v>
      </c>
      <c r="C108" s="2">
        <v>2024</v>
      </c>
      <c r="D108" s="8" t="s">
        <v>534</v>
      </c>
      <c r="E108" s="2" t="s">
        <v>535</v>
      </c>
      <c r="F108" s="2" t="s">
        <v>159</v>
      </c>
      <c r="G108" s="2" t="s">
        <v>536</v>
      </c>
      <c r="H108" s="2" t="s">
        <v>537</v>
      </c>
      <c r="I108" s="2">
        <v>1</v>
      </c>
    </row>
    <row r="109" spans="1:10" x14ac:dyDescent="0.25">
      <c r="A109" s="2" t="s">
        <v>538</v>
      </c>
      <c r="B109" s="2" t="s">
        <v>539</v>
      </c>
      <c r="C109" s="2">
        <v>2023</v>
      </c>
      <c r="D109" s="8" t="s">
        <v>540</v>
      </c>
      <c r="E109" s="2" t="s">
        <v>541</v>
      </c>
      <c r="F109" s="2" t="s">
        <v>542</v>
      </c>
      <c r="G109" s="2" t="s">
        <v>543</v>
      </c>
      <c r="H109" s="2" t="s">
        <v>544</v>
      </c>
      <c r="I109" s="2">
        <v>1</v>
      </c>
    </row>
    <row r="110" spans="1:10" x14ac:dyDescent="0.25">
      <c r="A110" s="2" t="s">
        <v>545</v>
      </c>
      <c r="B110" s="2" t="s">
        <v>546</v>
      </c>
      <c r="C110" s="2">
        <v>2022</v>
      </c>
      <c r="D110" s="2" t="s">
        <v>547</v>
      </c>
      <c r="E110" s="2" t="s">
        <v>548</v>
      </c>
      <c r="F110" s="2" t="s">
        <v>549</v>
      </c>
      <c r="G110" s="2" t="s">
        <v>543</v>
      </c>
      <c r="H110" s="2" t="s">
        <v>550</v>
      </c>
      <c r="I110" s="2">
        <v>1</v>
      </c>
    </row>
    <row r="111" spans="1:10" x14ac:dyDescent="0.25">
      <c r="A111" s="2" t="s">
        <v>551</v>
      </c>
      <c r="B111" s="2" t="s">
        <v>552</v>
      </c>
      <c r="C111" s="2">
        <v>2023</v>
      </c>
      <c r="D111" s="8" t="s">
        <v>553</v>
      </c>
      <c r="E111" s="2" t="s">
        <v>554</v>
      </c>
      <c r="F111" s="2" t="s">
        <v>555</v>
      </c>
      <c r="G111" s="2" t="s">
        <v>536</v>
      </c>
      <c r="H111" s="2" t="s">
        <v>556</v>
      </c>
      <c r="I111" s="2">
        <v>1</v>
      </c>
    </row>
    <row r="112" spans="1:10" x14ac:dyDescent="0.25">
      <c r="A112" s="2" t="s">
        <v>557</v>
      </c>
      <c r="B112" s="2" t="s">
        <v>558</v>
      </c>
      <c r="C112" s="2">
        <v>2020</v>
      </c>
      <c r="D112" s="8" t="s">
        <v>559</v>
      </c>
      <c r="E112" s="2" t="s">
        <v>560</v>
      </c>
      <c r="F112" s="2" t="s">
        <v>561</v>
      </c>
      <c r="G112" s="2" t="s">
        <v>562</v>
      </c>
      <c r="H112" s="2" t="s">
        <v>563</v>
      </c>
      <c r="I112" s="2">
        <v>1</v>
      </c>
    </row>
    <row r="113" spans="1:9" x14ac:dyDescent="0.25">
      <c r="A113" s="2" t="s">
        <v>564</v>
      </c>
      <c r="B113" s="2" t="s">
        <v>565</v>
      </c>
      <c r="C113" s="2">
        <v>2025</v>
      </c>
      <c r="D113" s="8" t="s">
        <v>566</v>
      </c>
      <c r="E113" s="2" t="s">
        <v>567</v>
      </c>
      <c r="F113" s="2" t="s">
        <v>568</v>
      </c>
      <c r="G113" s="2" t="s">
        <v>569</v>
      </c>
      <c r="H113" s="2" t="s">
        <v>570</v>
      </c>
      <c r="I113" s="2">
        <v>1</v>
      </c>
    </row>
    <row r="114" spans="1:9" x14ac:dyDescent="0.25">
      <c r="A114" s="2" t="s">
        <v>571</v>
      </c>
      <c r="B114" s="2" t="s">
        <v>572</v>
      </c>
      <c r="C114" s="2">
        <v>2024</v>
      </c>
      <c r="D114" s="2" t="s">
        <v>573</v>
      </c>
      <c r="E114" s="2" t="s">
        <v>574</v>
      </c>
      <c r="F114" s="2" t="s">
        <v>575</v>
      </c>
      <c r="G114" s="2" t="s">
        <v>569</v>
      </c>
      <c r="H114" s="2" t="s">
        <v>576</v>
      </c>
      <c r="I114" s="2">
        <v>1</v>
      </c>
    </row>
    <row r="115" spans="1:9" x14ac:dyDescent="0.25">
      <c r="A115" s="2" t="s">
        <v>577</v>
      </c>
      <c r="B115" s="2" t="s">
        <v>578</v>
      </c>
      <c r="C115" s="2">
        <v>2022</v>
      </c>
      <c r="D115" s="8" t="s">
        <v>579</v>
      </c>
      <c r="E115" s="2" t="s">
        <v>580</v>
      </c>
      <c r="F115" s="2" t="s">
        <v>581</v>
      </c>
      <c r="G115" s="2" t="s">
        <v>569</v>
      </c>
      <c r="H115" s="2" t="s">
        <v>582</v>
      </c>
      <c r="I115" s="2">
        <v>1</v>
      </c>
    </row>
    <row r="116" spans="1:9" x14ac:dyDescent="0.25">
      <c r="A116" s="2" t="s">
        <v>583</v>
      </c>
      <c r="B116" s="2" t="s">
        <v>584</v>
      </c>
      <c r="C116" s="2">
        <v>2024</v>
      </c>
      <c r="D116" s="8" t="s">
        <v>585</v>
      </c>
      <c r="E116" s="2" t="s">
        <v>586</v>
      </c>
      <c r="F116" s="2" t="s">
        <v>587</v>
      </c>
      <c r="G116" s="2" t="s">
        <v>588</v>
      </c>
      <c r="H116" s="2" t="s">
        <v>589</v>
      </c>
      <c r="I116" s="2">
        <v>1</v>
      </c>
    </row>
    <row r="117" spans="1:9" x14ac:dyDescent="0.25">
      <c r="A117" s="2" t="s">
        <v>590</v>
      </c>
      <c r="B117" s="2" t="s">
        <v>591</v>
      </c>
      <c r="C117" s="2">
        <v>2024</v>
      </c>
      <c r="D117" s="2" t="s">
        <v>592</v>
      </c>
      <c r="E117" s="2" t="s">
        <v>593</v>
      </c>
      <c r="G117" s="2" t="s">
        <v>594</v>
      </c>
      <c r="H117" s="2" t="s">
        <v>595</v>
      </c>
      <c r="I117" s="2">
        <v>1</v>
      </c>
    </row>
    <row r="118" spans="1:9" x14ac:dyDescent="0.25">
      <c r="A118" s="2" t="s">
        <v>596</v>
      </c>
      <c r="B118" s="2" t="s">
        <v>597</v>
      </c>
      <c r="C118" s="2">
        <v>2021</v>
      </c>
      <c r="D118" s="2" t="s">
        <v>598</v>
      </c>
      <c r="E118" s="2" t="s">
        <v>599</v>
      </c>
      <c r="F118" s="2" t="s">
        <v>600</v>
      </c>
      <c r="G118" s="2" t="s">
        <v>588</v>
      </c>
      <c r="H118" s="2" t="s">
        <v>601</v>
      </c>
      <c r="I118" s="2">
        <v>1</v>
      </c>
    </row>
    <row r="119" spans="1:9" x14ac:dyDescent="0.25">
      <c r="A119" s="2" t="s">
        <v>602</v>
      </c>
      <c r="B119" s="2" t="s">
        <v>603</v>
      </c>
      <c r="C119" s="2">
        <v>2024</v>
      </c>
      <c r="D119" s="8" t="s">
        <v>604</v>
      </c>
      <c r="E119" s="2" t="s">
        <v>605</v>
      </c>
      <c r="F119" s="2" t="s">
        <v>606</v>
      </c>
      <c r="G119" s="2" t="s">
        <v>569</v>
      </c>
      <c r="H119" s="2" t="s">
        <v>607</v>
      </c>
      <c r="I119" s="2">
        <v>1</v>
      </c>
    </row>
  </sheetData>
  <hyperlinks>
    <hyperlink ref="D28" r:id="rId1" xr:uid="{D65C54F9-C198-41D6-9BBB-82F38225EBF6}"/>
    <hyperlink ref="D82"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122CFE04-43FA-4BB6-A39C-AA355CF7AD2E}"/>
    <hyperlink ref="D69" r:id="rId3" xr:uid="{74AADCDA-6692-4A9A-A3A2-28DDC3A84AF3}"/>
    <hyperlink ref="D25" r:id="rId4" xr:uid="{53E7123F-DB5E-4988-906E-586B94732210}"/>
    <hyperlink ref="D51" r:id="rId5" xr:uid="{36DF7266-4D30-4209-B042-5BDF0FB93C4C}"/>
    <hyperlink ref="D84" r:id="rId6" xr:uid="{E9F181DA-531C-4890-BD04-478BD99B09DE}"/>
    <hyperlink ref="D97" r:id="rId7" xr:uid="{5FD9F970-DC75-4AEE-8DE7-3BD8BB9DAB0E}"/>
    <hyperlink ref="D67" r:id="rId8" xr:uid="{A5ED6D42-F89D-4EB7-A74B-1541FE62AFAD}"/>
    <hyperlink ref="D40" r:id="rId9" xr:uid="{0951447F-EC10-43AD-AB05-6716813A7384}"/>
    <hyperlink ref="D27" r:id="rId10" xr:uid="{783A2E52-30AE-4565-BAB2-6B43347D7B30}"/>
    <hyperlink ref="D96" r:id="rId11" xr:uid="{5D88B151-0EAC-42C4-AD4C-D99D81633DE1}"/>
    <hyperlink ref="D107" r:id="rId12" xr:uid="{638836B7-1D93-4741-9D72-05F738AF61FC}"/>
    <hyperlink ref="D108" r:id="rId13" xr:uid="{BFF022C3-05DA-451E-ADED-134C3ABCAC5A}"/>
    <hyperlink ref="D109" r:id="rId14" xr:uid="{773B7966-D2B4-402D-8E02-CB30F9FD99BA}"/>
    <hyperlink ref="D111"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A8204EC4-2E87-453E-90D0-4C68C7054FFF}"/>
    <hyperlink ref="D112" r:id="rId16" xr:uid="{FB48FF77-8DD4-4982-8A54-464B896F4308}"/>
    <hyperlink ref="D113" r:id="rId17" xr:uid="{29F36739-3B07-454F-8CDC-D62839795C26}"/>
    <hyperlink ref="D115" r:id="rId18" display="https://scholar.google.com/scholar?hl=en&amp;as_sdt=0%2C5&amp;q=A+framework+for+IoT+and+blockchain+based+smart+food+chain+management+system+Akhilesh+Kumar+Singh+Zahid+Raza+School+of+Computer+and+Systems+Sciences%2C+Jawaharlal+Nehru+University%2C+New+Delhi%2C+India+Correspondence+Zahid&amp;btnG=" xr:uid="{2BC4D0A5-A551-4B5D-9063-FF52138B2393}"/>
    <hyperlink ref="D116" r:id="rId19" xr:uid="{20625C7E-2F54-4D61-9056-54A6E244A09C}"/>
    <hyperlink ref="D119" r:id="rId20" xr:uid="{1D216FBC-34C3-42A3-9888-ED26BE1417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Records Screened 118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Muntasir Abussadik</dc:creator>
  <cp:lastModifiedBy>Muhammad Muntasir Yakubu</cp:lastModifiedBy>
  <dcterms:created xsi:type="dcterms:W3CDTF">2015-06-05T18:17:20Z</dcterms:created>
  <dcterms:modified xsi:type="dcterms:W3CDTF">2025-08-08T07:41:13Z</dcterms:modified>
</cp:coreProperties>
</file>